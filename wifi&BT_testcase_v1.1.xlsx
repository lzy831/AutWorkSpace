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Users/wangxiaoliang/Documents/work/document/test case/Common Case/"/>
    </mc:Choice>
  </mc:AlternateContent>
  <xr:revisionPtr revIDLastSave="0" documentId="8_{4056F35E-43D9-4D0C-849D-8C1A9F3D7340}" xr6:coauthVersionLast="47" xr6:coauthVersionMax="47" xr10:uidLastSave="{00000000-0000-0000-0000-000000000000}"/>
  <bookViews>
    <workbookView xWindow="0" yWindow="760" windowWidth="30240" windowHeight="18880" firstSheet="1" activeTab="1" xr2:uid="{00000000-000D-0000-FFFF-FFFF00000000}"/>
  </bookViews>
  <sheets>
    <sheet name="Summary" sheetId="2" r:id="rId1"/>
    <sheet name="Wifi_function" sheetId="3" r:id="rId2"/>
    <sheet name="WiFi_compatibility" sheetId="13" r:id="rId3"/>
    <sheet name="Wifi_throughput " sheetId="17" r:id="rId4"/>
    <sheet name="BT_function" sheetId="4" r:id="rId5"/>
    <sheet name="BT_compatibility" sheetId="10" r:id="rId6"/>
    <sheet name="wifi_throughput_backup" sheetId="5" state="hidden" r:id="rId7"/>
    <sheet name="Stability" sheetId="7" r:id="rId8"/>
    <sheet name="RVR&amp;RVO" sheetId="18" r:id="rId9"/>
    <sheet name="Revision" sheetId="1" r:id="rId10"/>
  </sheets>
  <definedNames>
    <definedName name="_xlnm._FilterDatabase" localSheetId="4" hidden="1">BT_function!$A$1:$O$74</definedName>
    <definedName name="_xlnm._FilterDatabase" localSheetId="1" hidden="1">Wifi_function!$A$4:$S$114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8" l="1"/>
  <c r="I3" i="18"/>
  <c r="H3" i="18"/>
  <c r="G3" i="18"/>
  <c r="F2" i="18"/>
  <c r="D2" i="18"/>
  <c r="B2" i="18"/>
  <c r="K3" i="7"/>
  <c r="J3" i="7"/>
  <c r="I3" i="7"/>
  <c r="H3" i="7"/>
  <c r="F2" i="7"/>
  <c r="D2" i="7"/>
  <c r="B2" i="7"/>
  <c r="J3" i="10"/>
  <c r="I3" i="10"/>
  <c r="H3" i="10"/>
  <c r="G3" i="10"/>
  <c r="F2" i="10"/>
  <c r="D2" i="10"/>
  <c r="B2" i="10"/>
  <c r="J3" i="4"/>
  <c r="I3" i="4"/>
  <c r="H3" i="4"/>
  <c r="G3" i="4"/>
  <c r="F2" i="4"/>
  <c r="D2" i="4"/>
  <c r="B2" i="4"/>
  <c r="J3" i="13"/>
  <c r="I3" i="13"/>
  <c r="H3" i="13"/>
  <c r="G3" i="13"/>
  <c r="F2" i="13"/>
  <c r="D2" i="13"/>
  <c r="B2" i="13"/>
  <c r="Q3" i="17"/>
  <c r="P3" i="17"/>
  <c r="O3" i="17"/>
  <c r="N3" i="17"/>
  <c r="F2" i="17"/>
  <c r="D2" i="17"/>
  <c r="B2" i="17"/>
  <c r="J3" i="3"/>
  <c r="I3" i="3"/>
  <c r="H3" i="3"/>
  <c r="G3" i="3"/>
  <c r="F2" i="3"/>
  <c r="D2" i="3"/>
  <c r="B2" i="3"/>
  <c r="H25" i="2"/>
  <c r="G25" i="2"/>
  <c r="F25" i="2"/>
  <c r="E25" i="2"/>
  <c r="D25" i="2"/>
  <c r="C25" i="2"/>
  <c r="H24" i="2"/>
  <c r="G24" i="2"/>
  <c r="F24" i="2"/>
  <c r="E24" i="2"/>
  <c r="D24" i="2"/>
  <c r="C24" i="2"/>
  <c r="H23" i="2"/>
  <c r="G23" i="2"/>
  <c r="F23" i="2"/>
  <c r="E23" i="2"/>
  <c r="D23" i="2"/>
  <c r="C23" i="2"/>
  <c r="F22" i="2"/>
  <c r="E22" i="2"/>
  <c r="D22" i="2"/>
  <c r="C22" i="2"/>
  <c r="F21" i="2"/>
  <c r="E21" i="2"/>
  <c r="D21" i="2"/>
  <c r="C21" i="2"/>
  <c r="F20" i="2"/>
  <c r="E20" i="2"/>
  <c r="D20" i="2"/>
  <c r="C20" i="2"/>
  <c r="F19" i="2"/>
  <c r="E19" i="2"/>
  <c r="D19" i="2"/>
  <c r="C19" i="2"/>
  <c r="F18" i="2"/>
  <c r="E18" i="2"/>
  <c r="D18" i="2"/>
  <c r="C18" i="2"/>
  <c r="F17" i="2"/>
  <c r="E17" i="2"/>
  <c r="D17" i="2"/>
  <c r="C17" i="2"/>
  <c r="H16" i="2"/>
  <c r="G16" i="2"/>
  <c r="F16" i="2"/>
  <c r="E16" i="2"/>
  <c r="D16" i="2"/>
  <c r="C16" i="2"/>
  <c r="H15" i="2"/>
  <c r="G15" i="2"/>
  <c r="F15" i="2"/>
  <c r="E15" i="2"/>
  <c r="D15" i="2"/>
  <c r="C15" i="2"/>
  <c r="H14" i="2"/>
  <c r="G14" i="2"/>
  <c r="F14" i="2"/>
  <c r="E14" i="2"/>
  <c r="D14" i="2"/>
  <c r="C14" i="2"/>
  <c r="H13" i="2"/>
  <c r="G13" i="2"/>
  <c r="F13" i="2"/>
  <c r="E13" i="2"/>
  <c r="D13" i="2"/>
  <c r="C13" i="2"/>
  <c r="H12" i="2"/>
  <c r="G12" i="2"/>
  <c r="F12" i="2"/>
  <c r="E12" i="2"/>
  <c r="D12" i="2"/>
  <c r="C12" i="2"/>
  <c r="F11" i="2"/>
  <c r="E11" i="2"/>
  <c r="D11" i="2"/>
  <c r="C11" i="2"/>
  <c r="H10" i="2"/>
  <c r="G10" i="2"/>
  <c r="F10" i="2"/>
  <c r="E10" i="2"/>
  <c r="D10" i="2"/>
  <c r="C10" i="2"/>
  <c r="G18" i="2" l="1"/>
  <c r="H18" i="2" s="1"/>
  <c r="G19" i="2"/>
  <c r="H19" i="2" s="1"/>
  <c r="G20" i="2"/>
  <c r="H20" i="2" s="1"/>
  <c r="G21" i="2"/>
  <c r="H21" i="2" s="1"/>
  <c r="G22" i="2"/>
  <c r="H22" i="2" s="1"/>
  <c r="G11" i="2"/>
  <c r="H11" i="2" s="1"/>
  <c r="G17" i="2"/>
  <c r="H17" i="2" s="1"/>
</calcChain>
</file>

<file path=xl/sharedStrings.xml><?xml version="1.0" encoding="utf-8"?>
<sst xmlns="http://schemas.openxmlformats.org/spreadsheetml/2006/main" count="3306" uniqueCount="1484">
  <si>
    <t>WIFI&amp;BT Test Summary</t>
  </si>
  <si>
    <t>Project:</t>
  </si>
  <si>
    <t>Platform</t>
  </si>
  <si>
    <t>Chip&amp;Module</t>
  </si>
  <si>
    <t>OS_Version</t>
  </si>
  <si>
    <t>Wifi/BT Version</t>
  </si>
  <si>
    <t>Wifi FW/Driver:
BT FW:
BT Driver:</t>
  </si>
  <si>
    <t>FW link</t>
  </si>
  <si>
    <t>Tester</t>
  </si>
  <si>
    <t>Category</t>
  </si>
  <si>
    <t>Test Item</t>
  </si>
  <si>
    <t>Total case</t>
  </si>
  <si>
    <t>Pass</t>
  </si>
  <si>
    <t>Fail</t>
  </si>
  <si>
    <t>N/A</t>
  </si>
  <si>
    <t>pass rate</t>
  </si>
  <si>
    <t>Test result</t>
  </si>
  <si>
    <t>Comments</t>
  </si>
  <si>
    <t>Wifi_function</t>
  </si>
  <si>
    <t>basic function</t>
  </si>
  <si>
    <t>Wifi_throughput</t>
  </si>
  <si>
    <t>peak throughput</t>
  </si>
  <si>
    <t>WiFi_compatibility</t>
  </si>
  <si>
    <t>Different router</t>
  </si>
  <si>
    <t>RVR&amp;RVO</t>
  </si>
  <si>
    <t>2.4G RVR</t>
  </si>
  <si>
    <t>2.4G RVO</t>
  </si>
  <si>
    <t>5G RVR</t>
  </si>
  <si>
    <t>5G RVO</t>
  </si>
  <si>
    <t>BT_function</t>
  </si>
  <si>
    <t>BT_compatibility</t>
  </si>
  <si>
    <t>BT Speaker</t>
  </si>
  <si>
    <t>BT Headset</t>
  </si>
  <si>
    <t>BT Remote</t>
  </si>
  <si>
    <t>Keyboard&amp;Mouse</t>
  </si>
  <si>
    <t>BT Handle</t>
  </si>
  <si>
    <t>Stability</t>
  </si>
  <si>
    <t>WIFI</t>
  </si>
  <si>
    <t>BT</t>
  </si>
  <si>
    <t>WIFI&amp;BT</t>
  </si>
  <si>
    <t>Others Related to WiFi&amp;BT</t>
  </si>
  <si>
    <t>XTS</t>
  </si>
  <si>
    <t>For details, please refer to the relevant report</t>
  </si>
  <si>
    <t>Smoking</t>
  </si>
  <si>
    <t>YTS</t>
  </si>
  <si>
    <t>NTS</t>
  </si>
  <si>
    <t>JIRA ID</t>
  </si>
  <si>
    <t>Summary</t>
  </si>
  <si>
    <t>Priority</t>
  </si>
  <si>
    <t>Owner</t>
  </si>
  <si>
    <t>Opening issues</t>
  </si>
  <si>
    <t>Won`t fix issue</t>
  </si>
  <si>
    <t>Report Review Owner</t>
  </si>
  <si>
    <r>
      <rPr>
        <sz val="10"/>
        <color theme="1"/>
        <rFont val="微软雅黑"/>
        <family val="2"/>
        <charset val="134"/>
      </rPr>
      <t>是否可以</t>
    </r>
    <r>
      <rPr>
        <sz val="10"/>
        <color theme="1"/>
        <rFont val="Arial"/>
        <family val="2"/>
      </rPr>
      <t>release</t>
    </r>
  </si>
  <si>
    <r>
      <rPr>
        <sz val="10"/>
        <color theme="1"/>
        <rFont val="微软雅黑"/>
        <family val="2"/>
        <charset val="134"/>
      </rPr>
      <t>签名</t>
    </r>
    <r>
      <rPr>
        <sz val="10"/>
        <color theme="1"/>
        <rFont val="Arial"/>
        <family val="2"/>
      </rPr>
      <t>/</t>
    </r>
    <r>
      <rPr>
        <sz val="10"/>
        <color theme="1"/>
        <rFont val="微软雅黑"/>
        <family val="2"/>
        <charset val="134"/>
      </rPr>
      <t>日期</t>
    </r>
  </si>
  <si>
    <r>
      <rPr>
        <sz val="10"/>
        <color theme="1"/>
        <rFont val="Arial"/>
        <family val="2"/>
      </rPr>
      <t>QA</t>
    </r>
    <r>
      <rPr>
        <sz val="10"/>
        <color theme="1"/>
        <rFont val="微软雅黑"/>
        <family val="2"/>
        <charset val="134"/>
      </rPr>
      <t>模块</t>
    </r>
    <r>
      <rPr>
        <sz val="10"/>
        <color theme="1"/>
        <rFont val="Arial"/>
        <family val="2"/>
      </rPr>
      <t>owner</t>
    </r>
    <r>
      <rPr>
        <sz val="10"/>
        <color theme="1"/>
        <rFont val="微软雅黑"/>
        <family val="2"/>
        <charset val="134"/>
      </rPr>
      <t>签名：</t>
    </r>
  </si>
  <si>
    <r>
      <rPr>
        <sz val="10"/>
        <color theme="1"/>
        <rFont val="Arial"/>
        <family val="2"/>
      </rPr>
      <t>RD</t>
    </r>
    <r>
      <rPr>
        <sz val="10"/>
        <color theme="1"/>
        <rFont val="微软雅黑"/>
        <family val="2"/>
        <charset val="134"/>
      </rPr>
      <t>模块</t>
    </r>
    <r>
      <rPr>
        <sz val="10"/>
        <color theme="1"/>
        <rFont val="Arial"/>
        <family val="2"/>
      </rPr>
      <t>owner</t>
    </r>
    <r>
      <rPr>
        <sz val="10"/>
        <color theme="1"/>
        <rFont val="微软雅黑"/>
        <family val="2"/>
        <charset val="134"/>
      </rPr>
      <t>签名：</t>
    </r>
  </si>
  <si>
    <r>
      <rPr>
        <sz val="10"/>
        <color theme="1"/>
        <rFont val="Arial"/>
        <family val="2"/>
      </rPr>
      <t xml:space="preserve">Release AE owner </t>
    </r>
    <r>
      <rPr>
        <sz val="10"/>
        <color theme="1"/>
        <rFont val="微软雅黑"/>
        <family val="2"/>
        <charset val="134"/>
      </rPr>
      <t>签名</t>
    </r>
  </si>
  <si>
    <r>
      <rPr>
        <sz val="10"/>
        <color theme="1"/>
        <rFont val="Arial"/>
        <family val="2"/>
      </rPr>
      <t xml:space="preserve">Release QA owner </t>
    </r>
    <r>
      <rPr>
        <sz val="10"/>
        <color theme="1"/>
        <rFont val="微软雅黑"/>
        <family val="2"/>
        <charset val="134"/>
      </rPr>
      <t>签名</t>
    </r>
  </si>
  <si>
    <t>WiFi Function Test</t>
  </si>
  <si>
    <t>Platform_Module</t>
  </si>
  <si>
    <t>Chip_Module</t>
  </si>
  <si>
    <t>Others</t>
  </si>
  <si>
    <t>No.</t>
  </si>
  <si>
    <t>Test_Item</t>
  </si>
  <si>
    <t>Test_SubItem</t>
  </si>
  <si>
    <t>Test_Preset</t>
  </si>
  <si>
    <t>Test_Step</t>
  </si>
  <si>
    <t>Expected result</t>
  </si>
  <si>
    <t>Test_Result</t>
  </si>
  <si>
    <t>Remark</t>
  </si>
  <si>
    <t>Author</t>
  </si>
  <si>
    <t>GM release</t>
  </si>
  <si>
    <t>Unify release</t>
  </si>
  <si>
    <t>是否可自动化</t>
    <phoneticPr fontId="25" type="noConversion"/>
  </si>
  <si>
    <t>不可自动化原因</t>
    <phoneticPr fontId="25" type="noConversion"/>
  </si>
  <si>
    <t>Description</t>
  </si>
  <si>
    <t>API_Summary_JSON</t>
  </si>
  <si>
    <t>Wifi_Func_001</t>
  </si>
  <si>
    <t>WIFI setting</t>
  </si>
  <si>
    <t>wifi default switch</t>
  </si>
  <si>
    <t>/</t>
  </si>
  <si>
    <t>Enter wifi setting</t>
  </si>
  <si>
    <t>Wifi switch default status is on</t>
  </si>
  <si>
    <t>P0</t>
  </si>
  <si>
    <t>weidong.feng</t>
  </si>
  <si>
    <t>Yes</t>
  </si>
  <si>
    <t>Summary（概要）
在WIFI setting场景下执行「wifi default switch」，验证：Wifi switch default status is on
Preconditions（前置条件/环境准备）
1. 平台已正常启动并进入系统
2. WiFi 模块已初始化
Steps（操作步骤）
Step 1：Enter wifi setting
目的：完成「wifi default switch」测试操作
对应函数：step_open_wifi_settings(...)
Checks（检查点）
Check 1：Wifi switch default status is on
检查内容：Wifi switch default status is on
对应函数：check_wifi_state(...)</t>
  </si>
  <si>
    <t>[{"kind": "step", "function_name": "step_open_wifi_settings", "description": "wifi default switch：Enter wifi setting", "category": "wifi", "tags": ["kind:step", "domain:wifi"], "params": {}, "pre_conditions": [], "post_conditions": []}, {"kind": "check", "function_name": "check_wifi_state", "description": "验证wifi default switch：Wifi switch default status is on", "category": "wifi", "tags": ["kind:check", "domain:wifi"], "params": {"expected": {"name": "expected", "type": "bool", "required": true, "default": true, "description": "True=WiFi应开启"}}, "pre_conditions": [{"id": "step_open_wifi_settings", "type": "step", "reason": "需先完成测试步骤"}], "post_conditions": []}]</t>
  </si>
  <si>
    <t>Wifi_Func_002</t>
  </si>
  <si>
    <t>Turn on/off wifi</t>
  </si>
  <si>
    <t>1. Turn off wifi
2. Turn on wifi</t>
  </si>
  <si>
    <t>Wifi can be turn off and cannot research AP
After turn on, can display ap list</t>
  </si>
  <si>
    <t>Summary（概要）
在WIFI setting场景下执行「Turn on/off wifi」，验证：Wifi can be turn off and cannot research AP After
Preconditions（前置条件/环境准备）
1. 平台已正常启动并进入系统
2. WiFi 模块已初始化
Steps（操作步骤）
Step 1：Turn off wifi
目的：完成「Turn on/off wifi」测试操作
对应函数：step_toggle_wifi(...)
Step 2：Turn on wifi
目的：完成「Turn on/off wifi」测试操作
对应函数：step_toggle_wifi(...)
Checks（检查点）
Check 1：Wifi can be turn off and cannot research AP After turn on, can display ap list
检查内容：Wifi can be turn off and cannot research AP After turn on, can display ap list
对应函数：check_wifi_state(...)</t>
  </si>
  <si>
    <t>[{"kind": "step", "function_name": "step_toggle_wifi", "description": "Turn on/off wifi：Turn off wifi", "category": "wifi", "tags": ["kind:step", "domain:wifi"], "params": {"enabled": {"name": "enabled", "type": "bool", "required": true, "default": false, "description": "False=关闭WiFi"}}, "pre_conditions": [], "post_conditions": []}, {"kind": "check", "function_name": "check_wifi_state", "description": "验证Turn on/off wifi：Wifi can be turn off and cannot research AP After turn on, c", "category": "wifi", "tags": ["kind:check", "domain:wifi"], "params": {"expected": {"name": "expected", "type": "bool", "required": true, "default": true, "description": "True=WiFi应开启"}}, "pre_conditions": [{"id": "step_toggle_wifi", "type": "step", "reason": "需先完成测试步骤"}], "post_conditions": []}]</t>
  </si>
  <si>
    <t>Wifi_Func_003</t>
  </si>
  <si>
    <t>Wifi list interface</t>
  </si>
  <si>
    <t>Connecting wifi</t>
  </si>
  <si>
    <t>set ap ssid to 32-bit, and then open and check Wifi list interface</t>
  </si>
  <si>
    <t>1.Wifi is sorted by strong to weak signal
2.The encryption mode of the current AP is identified in the help text of the AP
3.Verify that the 32-bit SSID is displayed intact</t>
  </si>
  <si>
    <t>P1</t>
  </si>
  <si>
    <t>Summary（概要）
在WIFI setting场景下执行「Wifi list interface」，验证：Wifi is sorted by strong to weak signal；The encryption mode of the current AP
Preconditions（前置条件/环境准备）
1. 平台已正常启动并进入系统
2. WiFi 模块已初始化
3. Connecting wifi
Steps（操作步骤）
Step 1：set ap ssid to 32-bit, and then open and check Wifi list interface
目的：完成「Wifi list interface」测试操作
对应函数：step_open_wifi_settings(...)
Checks（检查点）
Check 1：Wifi is sorted by strong to weak signal
检查内容：Wifi is sorted by strong to weak signal
对应函数：check_wifi_state(...)
Check 2：The encryption mode of the current AP is identified in the help text of the AP
检查内容：The encryption mode of the current AP is identified in the help text of the AP
对应函数：check_the_encryption_mode_of_the_c(...)
Check 3：Verify that the 32-bit SSID is displayed intact
检查内容：Verify that the 32-bit SSID is displayed intact
对应函数：check_ap_list_display(...)</t>
  </si>
  <si>
    <t>[{"kind": "step", "function_name": "step_open_wifi_settings", "description": "Wifi list interface：set ap ssid to 32-bit, and then open and check Wifi list int", "category": "wifi", "tags": ["kind:step", "domain:wifi"], "params": {}, "pre_conditions": [], "post_conditions": []}, {"kind": "check", "function_name": "check_wifi_state", "description": "验证Wifi list interface：Wifi is sorted by strong to weak signal", "category": "wifi", "tags": ["kind:check", "domain:wifi"], "params": {"expected": {"name": "expected", "type": "bool", "required": true, "default": true, "description": "True=WiFi应开启"}}, "pre_conditions": [{"id": "step_open_wifi_settings", "type": "step", "reason": "需先完成测试步骤"}], "post_conditions": []}, {"kind": "check", "function_name": "check_the_encryption_mode_of_the_c", "description": "验证Wifi list interface：The encryption mode of the current AP is identified in the h", "category": "wifi", "tags": ["kind:check", "domain:wifi"], "params": {}, "pre_conditions": [{"id": "step_open_wifi_settings", "type": "step", "reason": "需先完成测试步骤"}], "post_conditions": []}, {"kind": "check", "function_name": "check_ap_list_display", "description": "验证Wifi list interface：Verify that the 32-bit SSID is displayed intact", "category": "wifi", "tags": ["kind:check", "domain:wifi"], "params": {}, "pre_conditions": [{"id": "step_open_wifi_settings", "type": "step", "reason": "需先完成测试步骤"}], "post_conditions": []}]</t>
  </si>
  <si>
    <t>Wifi_Func_004</t>
  </si>
  <si>
    <t>connect successful</t>
  </si>
  <si>
    <t>Multiple APs</t>
  </si>
  <si>
    <t>Select an AP to connect
input the rignt password</t>
  </si>
  <si>
    <t>prompt the connection is successful, and  the connected AP display is ranked first and shows the connected status.</t>
  </si>
  <si>
    <t>Summary（概要）
在WIFI setting场景下执行「connect successful」，验证：prompt the connection is successful, and the conn
Preconditions（前置条件/环境准备）
1. 平台已正常启动并进入系统
2. WiFi 模块已初始化
3. Multiple APs
Steps（操作步骤）
Step 1：Select an AP to connect input the rignt password
目的：完成「connect successful」测试操作
对应函数：step_connect_wifi(...)
Checks（检查点）
Check 1：prompt the connection is successful, and the connected AP display is ranked fir
检查内容：prompt the connection is successful, and the connected AP display is ranked first and shows the connected status.
对应函数：check_wifi_connected(...)</t>
  </si>
  <si>
    <t>[{"kind": "step", "function_name": "step_connect_wifi", "description": "connect successful：Select an AP to connect input the rignt password",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successful：prompt the connection is successful, and the connected AP d", "category": "wifi", "tags": ["kind:check", "domain:wifi"], "params": {"expected_ssid": {"name": "expected_ssid", "type": "str", "required": false, "default": null, "description": "预期已连接的SSID"}}, "pre_conditions": [{"id": "step_connect_wifi", "type": "step", "reason": "需先完成测试步骤"}], "post_conditions": []}]</t>
  </si>
  <si>
    <t>Wifi_Func_005</t>
  </si>
  <si>
    <t>connect fail</t>
  </si>
  <si>
    <t>Select an AP to connect
input the wrong password</t>
  </si>
  <si>
    <t>prompt some info, such as: the connection fails and you need to try to connect again</t>
  </si>
  <si>
    <t>Summary（概要）
在WIFI setting场景下执行「connect fail」，验证：prompt some info, such as: the connection fails an
Preconditions（前置条件/环境准备）
1. 平台已正常启动并进入系统
2. WiFi 模块已初始化
3. Multiple APs
Steps（操作步骤）
Step 1：Select an AP to connect input the wrong password
目的：完成「connect fail」测试操作
对应函数：step_connect_wifi(...)
Checks（检查点）
Check 1：prompt some info, such as: the connection fails and you need to try to connect a
检查内容：prompt some info, such as: the connection fails and you need to try to connect again
对应函数：check_wifi_connection_failed(...)</t>
  </si>
  <si>
    <t>[{"kind": "step", "function_name": "step_connect_wifi", "description": "connect fail：Select an AP to connect input the wrong password",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"check_wifi_connection_failed", "description": "验证connect fail：prompt some info, such as: the connection fails and you need", "category": "wifi", "tags": ["kind:check", "domain:wifi"], "params": {}, "pre_conditions": [{"id": "step_connect_wifi", "type": "step", "reason": "需先完成测试步骤"}], "post_conditions": []}]</t>
  </si>
  <si>
    <t>Wifi_Func_006</t>
  </si>
  <si>
    <t>Wifi connecting interface</t>
  </si>
  <si>
    <t>open and check  Wifi connecting interface</t>
  </si>
  <si>
    <t>1.Display the SSID of the current AP
2.Hide password optionswas clicked by default</t>
  </si>
  <si>
    <t>Connecting 窗口需要人为选择并判断是否符合预期</t>
  </si>
  <si>
    <t>Summary（概要）
在WIFI setting场景下执行「Wifi connecting interface」，验证：Display the SSID of the current AP；Hide password optionswas clicked by
Preconditions（前置条件/环境准备）
1. 平台已正常启动并进入系统
2. WiFi 模块已初始化
3. Connecting wifi
Steps（操作步骤）
Step 1：open and check Wifi connecting interface
目的：完成「Wifi connecting interface」测试操作
对应函数：step_toggle_wifi(...)
Checks（检查点）
Check 1：Display the SSID of the current AP
检查内容：Display the SSID of the current AP
对应函数：check_ap_list_display(...)
Check 2：Hide password optionswas clicked by default
检查内容：Hide password optionswas clicked by default
对应函数：check_hide_password_optionswas_cli(...)</t>
  </si>
  <si>
    <t>[{"kind": "step", "function_name": "step_toggle_wifi", "description": "Wifi connecting interface：open and check Wifi connecting interface", "category": "wifi", "tags": ["kind:step", "domain:wifi"], "params": {"enabled": {"name": "enabled", "type": "bool", "required": true, "default": true, "description": "True=开启WiFi"}}, "pre_conditions": [], "post_conditions": []}, {"kind": "check", "function_name": "check_ap_list_display", "description": "验证Wifi connecting interface：Display the SSID of the current AP", "category": "wifi", "tags": ["kind:check", "domain:wifi"], "params": {}, "pre_conditions": [{"id": "step_toggle_wifi", "type": "step", "reason": "需先完成测试步骤"}], "post_conditions": []}, {"kind": "check", "function_name": "check_hide_password_optionswas_cli", "description": "验证Wifi connecting interface：Hide password optionswas clicked by default", "category": "wifi", "tags": ["kind:check", "domain:wifi"], "params": {}, "pre_conditions": [{"id": "step_toggle_wifi", "type": "step", "reason": "需先完成测试步骤"}], "post_conditions": []}]</t>
  </si>
  <si>
    <t>Wifi_Func_007</t>
  </si>
  <si>
    <t>WiFi/Ethernet switching</t>
  </si>
  <si>
    <t>Plug and unplug the network cable after the platform is connected to the AP.</t>
  </si>
  <si>
    <t>After the platform is plugged into the network cable, the WiFi is disconnected and connected to the Ethernet; after the network cable is unplugged, the WiFi is automatically reconnected; priority: Ethernet&gt;WiFi</t>
  </si>
  <si>
    <t>Summary（概要）
在WIFI setting场景下执行「WiFi/Ethernet switching」，验证：After the platform is plugged into the network cab
Preconditions（前置条件/环境准备）
1. 平台已正常启动并进入系统
2. WiFi 模块已初始化
Steps（操作步骤）
Step 1：Plug and unplug the network cable after the platform is connected to the AP.
目的：完成「WiFi/Ethernet switching」测试操作
对应函数：step_connect_wifi(...)
Checks（检查点）
Check 1：After the platform is plugged into the network cable, the WiFi is disconnected a
检查内容：After the platform is plugged into the network cable, the WiFi is disconnected and connected to the Ethernet; after the network cable is unplugged, the WiFi is automatically reconnected; priority: Ethernet&gt;WiFi
对应函数：check_wifi_disconnected(...)</t>
  </si>
  <si>
    <t>[{"kind": "step", "function_name": "step_connect_wifi", "description": "WiFi/Ethernet switching：Plug and unplug the network cable after the platform is conn",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"check_wifi_disconnected", "description": "验证WiFi/Ethernet switching：After the platform is plugged into the network cable, the Wi", "category": "wifi", "tags": ["kind:check", "domain:wifi"], "params": {}, "pre_conditions": [{"id": "step_connect_wifi", "type": "step", "reason": "需先完成测试步骤"}], "post_conditions": []}]</t>
  </si>
  <si>
    <t>Wifi_Func_008</t>
  </si>
  <si>
    <t>forget password</t>
  </si>
  <si>
    <t>Select one connected ap, to click "Do not save" or "Forget network" option</t>
  </si>
  <si>
    <t>The platform will automatically delete the saved wifi password</t>
  </si>
  <si>
    <t>Summary（概要）
在WIFI setting场景下执行「forget password」，验证：The platform will automatically delete the saved w
Preconditions（前置条件/环境准备）
1. 平台已正常启动并进入系统
2. WiFi 模块已初始化
Steps（操作步骤）
Step 1：Select one connected ap, to click "Do not save" or "Forget network" option
目的：完成「forget password」测试操作
对应函数：step_connect_wifi(...)
Checks（检查点）
Check 1：The platform will automatically delete the saved wifi password
检查内容：The platform will automatically delete the saved wifi password
对应函数：check_wifi_password_forgotten(...)</t>
  </si>
  <si>
    <t>[{"kind": "step", "function_name": "step_connect_wifi", "description": "forget password：Select one connected ap, to click \"Do not save\" or \"Forget n",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"check_wifi_password_forgotten", "description": "验证forget password：The platform will automatically delete the saved wifi passwo", "category": "wifi", "tags": ["kind:check", "domain:wifi"], "params": {"ssid": {"name": "ssid", "type": "str", "required": true, "default": null, "description": "已忘记密码的SSID"}}, "pre_conditions": [{"id": "step_connect_wifi", "type": "step", "reason": "需先完成测试步骤"}], "post_conditions": []}]</t>
  </si>
  <si>
    <t>Wifi_Func_009</t>
  </si>
  <si>
    <t>set static ip</t>
  </si>
  <si>
    <t>Use static IP</t>
  </si>
  <si>
    <t>Static IP can set successful</t>
  </si>
  <si>
    <t>Summary（概要）
在WIFI setting场景下执行「set static ip」，验证：Static IP can set successful
Preconditions（前置条件/环境准备）
1. 平台已正常启动并进入系统
2. WiFi 模块已初始化
Steps（操作步骤）
Step 1：Use static IP
目的：完成「set static ip」测试操作
对应函数：step_set_wifi_static_ip(...)
Checks（检查点）
Check 1：Static IP can set successful
检查内容：Static IP can set successful
对应函数：check_wifi_ip_mode(...)</t>
  </si>
  <si>
    <t>[{"kind": "step", "function_name": "step_set_wifi_static_ip", "description": "set static ip：Use static IP", "category": "wifi", "tags": ["kind:step", "domain:wifi"], "params": {"ip": {"name": "ip", "type": "str", "required": true, "default": null, "description": "静态IP地址"}, "subnet": {"name": "subnet", "type": "str", "required": false, "default": null, "description": "子网掩码"}, "gateway": {"name": "gateway", "type": "str", "required": false, "default": null, "description": "网关地址"}}, "pre_conditions": [], "post_conditions": []}, {"kind": "check", "function_name": "check_wifi_ip_mode", "description": "验证set static ip：Static IP can set successful", "category": "wifi", "tags": ["kind:check", "domain:wifi"], "params": {"expected_mode": {"name": "expected_mode", "type": "str", "required": true, "default": "static", "description": "预期IP模式"}}, "pre_conditions": [{"id": "step_set_wifi_static_ip", "type": "step", "reason": "需先完成测试步骤"}], "post_conditions": []}]</t>
  </si>
  <si>
    <t>Wifi_Func_010</t>
  </si>
  <si>
    <t>network working</t>
  </si>
  <si>
    <t>Access to the network</t>
  </si>
  <si>
    <t>The platform should be able to access web news or videos normally</t>
  </si>
  <si>
    <t>Summary（概要）
在WIFI setting场景下执行「network working」，验证：The platform should be able to access web news or
Preconditions（前置条件/环境准备）
1. 平台已正常启动并进入系统
2. WiFi 模块已初始化
Steps（操作步骤）
Step 1：Access to the network
目的：完成「network working」测试操作
对应函数：step_access_network_or_play_video(...)
Checks（检查点）
Check 1：The platform should be able to access web news or videos normally
检查内容：The platform should be able to access web news or videos normally
对应函数：check_network_accessible(...)</t>
  </si>
  <si>
    <t>[{"kind": "step", "function_name": "step_access_network_or_play_video", "description": "network working：Access to the network", "category": "wifi", "tags": ["kind:step", "domain:wifi"], "params": {"target": {"name": "target", "type": "str", "required": false, "default": null, "description": "访问目标或视频平台名称"}}, "pre_conditions": [], "post_conditions": []}, {"kind": "check", "function_name": "check_network_accessible", "description": "验证network working：The platform should be able to access web news or videos nor", "category": "wifi", "tags": ["kind:check", "domain:wifi"], "params": {}, "pre_conditions": [{"id": "step_access_network_or_play_video", "type": "step", "reason": "需先完成测试步骤"}], "post_conditions": []}]</t>
  </si>
  <si>
    <t>Wifi_Func_011</t>
  </si>
  <si>
    <t>Flight mode</t>
  </si>
  <si>
    <t>turning on Flight mode</t>
  </si>
  <si>
    <t>1.Wifi automatically turns off when airplane mode is turned on
2.After turning on the flight mode, you can manually turn on the wifi and continue to access the Internet.</t>
  </si>
  <si>
    <t>Summary（概要）
在WIFI setting场景下执行「Flight mode」，验证：Wifi automatically turns off when airplane mode is；After turning on the flight mode,
Preconditions（前置条件/环境准备）
1. 平台已正常启动并进入系统
2. WiFi 模块已初始化
Steps（操作步骤）
Step 1：turning on Flight mode
目的：完成「Flight mode」测试操作
对应函数：step_set_flight_mode(...)
Checks（检查点）
Check 1：Wifi automatically turns off when airplane mode is turned on
检查内容：Wifi automatically turns off when airplane mode is turned on
对应函数：check_wifi_state(...)
Check 2：After turning on the flight mode, you can manually turn on the wifi and continue
检查内容：After turning on the flight mode, you can manually turn on the wifi and continue to access the Internet.
对应函数：check_wifi_state(...)</t>
  </si>
  <si>
    <t>[{"kind": "step", "function_name": "step_set_flight_mode", "description": "Flight mode：turning on Flight mode", "category": "wifi", "tags": ["kind:step", "domain:wifi"], "params": {"enabled": {"name": "enabled", "type": "bool", "required": true, "default": true, "description": "True=开启飞行模式"}}, "pre_conditions": [], "post_conditions": []}, {"kind": "check", "function_name": "check_wifi_state", "description": "验证Flight mode：Wifi automatically turns off when airplane mode is turned on", "category": "wifi", "tags": ["kind:check", "domain:wifi"], "params": {"expected": {"name": "expected", "type": "bool", "required": true, "default": true, "description": "True=WiFi应开启"}}, "pre_conditions": [{"id": "step_set_flight_mode", "type": "step", "reason": "需先完成测试步骤"}], "post_conditions": []}]</t>
  </si>
  <si>
    <t>Wifi_Func_012</t>
  </si>
  <si>
    <t>Password keyboard input interface</t>
  </si>
  <si>
    <t>1. open and check password keyboard input interface
2.when number of input passwords is less than the standard number of passwords
3.When the number of digits entered is equal to or more than the standard number of digits
4. When entering a password, if Show Password is set to Hide password
5. Click the cancel button or press the back button</t>
  </si>
  <si>
    <t>1.Can pop up the default keyboard input
2.the connection button is grayed out or the click connection has no effect
3. the connection button can be connected
4. the passwords are all displayed in "..." m; or the entered passwords are all displayed
5. return to the AP list interface</t>
  </si>
  <si>
    <t>No</t>
  </si>
  <si>
    <t>键盘行为需要人为判断是否符合预期</t>
  </si>
  <si>
    <t>Summary（概要）
在WIFI setting场景下执行「Password keyboard input interface」，验证：Can pop up the default keyboard input；the connection button is
Preconditions（前置条件/环境准备）
1. 平台已正常启动并进入系统
2. WiFi 模块已初始化
3. Multiple APs
Steps（操作步骤）
Step 1：open and check password keyboard input interface
目的：完成「Password keyboard input interface」测试操作
对应函数：step_open_and_check_password_keyb(...)
Step 2：when number of input passwords is less than the standard number of passwords
目的：完成「Password keyboard input interface」测试操作
对应函数：step_connect_wifi(...)
Step 3：When the number of digits entered is equal to or more than the standard number of digits
目的：完成「Password keyboard input interface」测试操作
对应函数：step_when_the_number_of_digits_en(...)
Step 4：When entering a password, if Show Password is set to Hide password
目的：完成「Password keyboard input interface」测试操作
对应函数：step_connect_wifi(...)
Step 5：Click the cancel button or press the back button
目的：完成「Password keyboard input interface」测试操作
对应函数：step_click_the_cancel_button_or_p(...)
Checks（检查点）
Check 1：Can pop up the default keyboard input
检查内容：Can pop up the default keyboard input
对应函数：check_can_pop_up_the_default_keybo(...)
Check 2：the connection button is grayed out or the click connection has no effect
检查内容：the connection button is grayed out or the click connection has no effect
对应函数：check_the_connection_button_is_gra(...)
Check 3：the connection button can be connected
检查内容：the connection button can be connected
对应函数：check_the_connection_button_can_be(...)
Check 4：the passwords are all displayed in "..." m; or the entered passwords are all dis
检查内容：the passwords are all displayed in "..." m; or the entered passwords are all displayed
对应函数：check_wifi_password_input_ui(...)
Check 5：return to the AP list interface
检查内容：return to the AP list interface
对应函数：check_ap_list_display(...)</t>
  </si>
  <si>
    <t>[{"kind": "step", "function_name": "step_open_and_check_password_keyb", "description": "Password keyboard input interface：open and check password keyboard input interface", "category": "wifi", "tags": ["kind:step", "domain:wifi"], "params": {}, "pre_conditions": [], "post_conditions": []}, {"kind": "step", "function_name": "step_connect_wifi", "description": "Password keyboard input interface：when number of input passwords is less than the standard num",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[{"id": "step_open_and_check_password_keyb", "type": "step", "reason": "前置步骤必须先完成"}], "post_conditions": []}, {"kind": "step", "function_name": "step_when_the_number_of_digits_en", "description": "Password keyboard input interface：When the number of digits entered is equal to or more than t", "category": "wifi", "tags": ["kind:step", "domain:wifi"], "params": {}, "pre_conditions": [{"id": "step_connect_wifi", "type": "step", "reason": "前置步骤必须先完成"}], "post_conditions": []}, {"kind": "step", "function_name": "step_click_the_cancel_button_or_p", "description": "Password keyboard input interface：Click the cancel button or press the back button", "category": "wifi", "tags": ["kind:step", "domain:wifi"], "params": {}, "pre_conditions": [{"id": "step_connect_wifi", "type": "step", "reason": "前置步骤必须先完成"}], "post_conditions": []}, {"kind": "check", "function_name": "check_can_pop_up_the_default_keybo", "description": "验证Password keyboard input interface：Can pop up the default keyboard input", "category": "wifi", "tags": ["kind:check", "domain:wifi"], "params": {}, "pre_conditions": [{"id": "step_click_the_cancel_button_or_p", "type": "step", "reason": "需先完成测试步骤"}], "post_conditions": []}, {"kind": "check", "function_name": "check_the_connection_button_is_gra", "description": "验证Password keyboard input interface：the connection button is grayed out or the click connection ", "category": "wifi", "tags": ["kind:check", "domain:wifi"], "params": {}, "pre_conditions": [{"id": "step_click_the_cancel_button_or_p", "type": "step", "reason": "需先完成测试步骤"}], "post_conditions": []}, {"kind": "check", "function_name": "check_the_connection_button_can_be", "description": "验证Password keyboard input interface：the connection button can be connected", "category": "wifi", "tags": ["kind:check", "domain:wifi"], "params": {}, "pre_conditions": [{"id": "step_click_the_cancel_button_or_p", "type": "step", "reason": "需先完成测试步骤"}], "post_conditions": []}, {"kind": "check", "function_name": "check_wifi_password_input_ui", "description": "验证Password keyboard input interface：the passwords are all displayed in \"...\" m; or the entered p", "category": "wifi", "tags": ["kind:check", "domain:wifi"], "params": {}, "pre_conditions": [{"id": "step_click_the_cancel_button_or_p", "type": "step", "reason": "需先完成测试步骤"}], "post_conditions": []}, {"kind": "check", "function_name": "check_ap_list_display", "description": "验证Password keyboard input interface：return to the AP list interface", "category": "wifi", "tags": ["kind:check", "domain:wifi"], "params": {}, "pre_conditions": [{"id": "step_click_the_cancel_button_or_p", "type": "step", "reason": "需先完成测试步骤"}], "post_conditions": []}]</t>
  </si>
  <si>
    <t>Wifi_Func_013</t>
  </si>
  <si>
    <t>quick connect</t>
  </si>
  <si>
    <r>
      <rPr>
        <sz val="9"/>
        <color rgb="FF000000"/>
        <rFont val="Arial"/>
        <family val="2"/>
      </rPr>
      <t xml:space="preserve">1.DUT enter settings-Network&amp;Internet-Quick connect
2.Android 12 mobile phone connect with an VPN AP </t>
    </r>
    <r>
      <rPr>
        <sz val="9"/>
        <color rgb="FFFF0000"/>
        <rFont val="Arial"/>
        <family val="2"/>
      </rPr>
      <t>(which is 1/6/11/36/64/149/165channel)</t>
    </r>
    <r>
      <rPr>
        <sz val="9"/>
        <color rgb="FF000000"/>
        <rFont val="Arial"/>
        <family val="2"/>
      </rPr>
      <t>and enter AP detail interface
3.Add device and then scan the QR code</t>
    </r>
  </si>
  <si>
    <t>1.DUT will auto connect with the  AP which same as mobile phone connected and phone prompt AP connect success</t>
  </si>
  <si>
    <t>如何自动化控制 mobile 设备</t>
  </si>
  <si>
    <t>Summary（概要）
在WIFI setting场景下执行「quick connect」，验证：DUT will auto connect with the AP which same as m
Preconditions（前置条件/环境准备）
1. 平台已正常启动并进入系统
2. WiFi 模块已初始化
Steps（操作步骤）
Step 1：DUT enter settings-Network&amp;Internet-Quick connect
目的：完成「quick connect」测试操作
对应函数：step_quick_connect_wifi(...)
Step 2：Android 12 mobile phone connect with an VPN AP (which is 1/6/11/36/64/149/165channel)and enter AP detail interface
目的：完成「quick connect」测试操作
对应函数：step_connect_wifi(...)
Step 3：Add device and then scan the QR code
目的：完成「quick connect」测试操作
对应函数：step_quick_connect_wifi(...)
Checks（检查点）
Check 1：DUT will auto connect with the AP which same as mobile phone connected and phon
检查内容：DUT will auto connect with the AP which same as mobile phone connected and phone prompt AP connect success
对应函数：check_wifi_connected(...)</t>
  </si>
  <si>
    <t>[{"kind": "step", "function_name": "step_quick_connect_wifi", "description": "quick connect：DUT enter settings-Network&amp;Internet-Quick connect", "category": "wifi", "tags": ["kind:step", "domain:wifi"], "params": {}, "pre_conditions": [], "post_conditions": []}, {"kind": "step", "function_name": "step_connect_wifi", "description": "quick connect：Android 12 mobile phone connect with an VPN AP (which is 1/6",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[{"id": "step_quick_connect_wifi", "type": "step", "reason": "前置步骤必须先完成"}], "post_conditions": []}, {"kind": "check", "function_name": "check_wifi_connected", "description": "验证quick connect：DUT will auto connect with the AP which same as mobile phon", "category": "wifi", "tags": ["kind:check", "domain:wifi"], "params": {"expected_ssid": {"name": "expected_ssid", "type": "str", "required": false, "default": null, "description": "预期已连接的SSID"}}, "pre_conditions": [{"id": "step_quick_connect_wifi", "type": "step", "reason": "需先完成测试步骤"}], "post_conditions": []}]</t>
  </si>
  <si>
    <t>Wifi_Func_014</t>
  </si>
  <si>
    <t>country code</t>
  </si>
  <si>
    <t>1. input cmd to check countrycode
getprop ro.boot.wificountrycode
2. change another country in Startup wizard</t>
  </si>
  <si>
    <t>countrycode follow with setup country
such as: US</t>
  </si>
  <si>
    <t>Summary（概要）
在WIFI setting场景下执行「country code」，验证：countrycode follow with setup country such as: US
Preconditions（前置条件/环境准备）
1. 平台已正常启动并进入系统
2. WiFi 模块已初始化
Steps（操作步骤）
Step 1：input cmd to check countrycode getprop ro.boot.wificountrycode
目的：完成「country code」测试操作
对应函数：step_set_country_code(...)
Step 2：change another country in Startup wizard
目的：完成「country code」测试操作
对应函数：step_set_country_code(...)
Checks（检查点）
Check 1：countrycode follow with setup country such as: US
检查内容：countrycode follow with setup country such as: US
对应函数：check_country_code(...)</t>
  </si>
  <si>
    <t>[{"kind": "step", "function_name": "step_set_country_code", "description": "country code：input cmd to check countrycode getprop ro.boot.wificountryco", "category": "wifi", "tags": ["kind:step", "domain:wifi"], "params": {"country": {"name": "country", "type": "str", "required": true, "default": null, "description": "国家代码如 US/CN"}}, "pre_conditions": [], "post_conditions": []}, {"kind": "check", "function_name": "check_country_code", "description": "验证country code：countrycode follow with setup country such as: US", "category": "wifi", "tags": ["kind:check", "domain:wifi"], "params": {"expected_code": {"name": "expected_code", "type": "str", "required": true, "default": null, "description": "预期国家代码如 US/CN"}}, "pre_conditions": [{"id": "step_set_country_code", "type": "step", "reason": "需先完成测试步骤"}], "post_conditions": []}]</t>
  </si>
  <si>
    <t>Wifi_Func_026</t>
  </si>
  <si>
    <t>Connect AP</t>
  </si>
  <si>
    <t>Hide SSID</t>
  </si>
  <si>
    <t>hide ap  on router settings</t>
  </si>
  <si>
    <t>1.Platform cannot search the AP
2.The platform enters the SSID and password may successfully connect to the AP.</t>
  </si>
  <si>
    <t>Todo</t>
  </si>
  <si>
    <t>该项标记为 TODO，提示以下 AP Case 均需要提供满足条件的路由器设备来完成 Case 开发，同时测试端需搭建 AUT 环境，实现路由器自动化控制 1.模拟实现 2.是否能覆盖 3.煲机类</t>
  </si>
  <si>
    <t>Summary（概要）
在Connect AP场景下执行「Hide SSID」，验证：Platform cannot search the AP；The platform enters the SSID and password may succ
Preconditions（前置条件/环境准备）
1. 平台已正常启动并进入系统
2. WiFi 模块已初始化
Steps（操作步骤）
Step 1：hide ap on router settings
目的：完成「Hide SSID」测试操作
对应函数：step_configure_ap_hide_ssid(...)
Checks（检查点）
Check 1：Platform cannot search the AP
检查内容：Platform cannot search the AP
对应函数：check_ap_not_visible(...)
Check 2：The platform enters the SSID and password may successfully connect to the AP.
检查内容：The platform enters the SSID and password may successfully connect to the AP.
对应函数：check_the_platform_enters_the_ssid(...)</t>
  </si>
  <si>
    <t>[{"kind": "step", "function_name": "step_configure_ap_hide_ssid", "description": "Hide SSID：hide ap on router settings", "category": "wifi", "tags": ["kind:step", "domain:wifi"], "params": {"hidden": {"name": "hidden", "type": "bool", "required": true, "default": true, "description": "True=隐藏SSID"}}, "pre_conditions": [], "post_conditions": []}, {"kind": "check", "function_name": "check_ap_not_visible", "description": "验证Hide SSID：Platform cannot search the AP", "category": "wifi", "tags": ["kind:check", "domain:wifi"], "params": {}, "pre_conditions": [{"id": "step_configure_ap_hide_ssid", "type": "step", "reason": "需先完成测试步骤"}], "post_conditions": []}, {"kind": "check", "function_name": "check_the_platform_enters_the_ssid", "description": "验证Hide SSID：The platform enters the SSID and password may successfully c", "category": "wifi", "tags": ["kind:check", "domain:wifi"], "params": {}, "pre_conditions": [{"id": "step_configure_ap_hide_ssid", "type": "step", "reason": "需先完成测试步骤"}], "post_conditions": []}]</t>
  </si>
  <si>
    <t>Wifi_Func_027</t>
  </si>
  <si>
    <t>Unhide SSID</t>
  </si>
  <si>
    <t>unhide ap  on router settings</t>
  </si>
  <si>
    <t>Platform can search the AP and connect it</t>
  </si>
  <si>
    <t>Summary（概要）
在Connect AP场景下执行「Unhide SSID」，验证：Platform can search the AP and connect it
Preconditions（前置条件/环境准备）
1. 平台已正常启动并进入系统
2. WiFi 模块已初始化
Steps（操作步骤）
Step 1：unhide ap on router settings
目的：完成「Unhide SSID」测试操作
对应函数：step_configure_ap_hide_ssid(...)
Checks（检查点）
Check 1：Platform can search the AP and connect it
检查内容：Platform can search the AP and connect it
对应函数：check_wifi_connected(...)</t>
  </si>
  <si>
    <t>[{"kind": "step", "function_name": "step_configure_ap_hide_ssid", "description": "Unhide SSID：unhide ap on router settings", "category": "wifi", "tags": ["kind:step", "domain:wifi"], "params": {"hidden": {"name": "hidden", "type": "bool", "required": true, "default": true, "description": "True=隐藏SSID"}}, "pre_conditions": [], "post_conditions": []}, {"kind": "check", "function_name": "check_wifi_connected", "description": "验证Unhide SSID：Platform can search the AP and connect it", "category": "wifi", "tags": ["kind:check", "domain:wifi"], "params": {"expected_ssid": {"name": "expected_ssid", "type": "str", "required": false, "default": null, "description": "预期已连接的SSID"}}, "pre_conditions": [{"id": "step_configure_ap_hide_ssid", "type": "step", "reason": "需先完成测试步骤"}], "post_conditions": []}]</t>
  </si>
  <si>
    <t>Wifi_Func_015</t>
  </si>
  <si>
    <t>The connected AP is powered off/on</t>
  </si>
  <si>
    <t>1.Connect an AP
2.The AP power off
3.The AP power on</t>
  </si>
  <si>
    <r>
      <rPr>
        <sz val="9"/>
        <color theme="1"/>
        <rFont val="Arial"/>
        <family val="2"/>
      </rPr>
      <t>1.After step 2</t>
    </r>
    <r>
      <rPr>
        <sz val="9"/>
        <color theme="1"/>
        <rFont val="宋体"/>
        <family val="3"/>
        <charset val="134"/>
      </rPr>
      <t>，</t>
    </r>
    <r>
      <rPr>
        <sz val="9"/>
        <color theme="1"/>
        <rFont val="Arial"/>
        <family val="2"/>
      </rPr>
      <t>platform disconnect with the AP
2.After step 3</t>
    </r>
    <r>
      <rPr>
        <sz val="9"/>
        <color theme="1"/>
        <rFont val="宋体"/>
        <family val="3"/>
        <charset val="134"/>
      </rPr>
      <t>，</t>
    </r>
    <r>
      <rPr>
        <sz val="9"/>
        <color theme="1"/>
        <rFont val="Arial"/>
        <family val="2"/>
      </rPr>
      <t>platform auto connect with the AP</t>
    </r>
  </si>
  <si>
    <t>Summary（概要）
在Connect AP场景下执行「The connected AP is powered off/on」，验证：After step 2，platform disconnect with the AP；After step 3，platfo
Preconditions（前置条件/环境准备）
1. 平台已正常启动并进入系统
2. WiFi 模块已初始化
Steps（操作步骤）
Step 1：Connect an AP
目的：完成「The connected AP is powered off/on」测试操作
对应函数：step_connect_wifi(...)
Step 2：The AP power off
目的：完成「The connected AP is powered off/on」测试操作
对应函数：step_power_off_ap(...)
Step 3：The AP power on
目的：完成「The connected AP is powered off/on」测试操作
对应函数：step_power_on_ap(...)
Checks（检查点）
Check 1：After step 2，platform disconnect with the AP
检查内容：After step 2，platform disconnect with the AP
对应函数：check_wifi_disconnected(...)
Check 2：After step 3，platform auto connect with the AP
检查内容：After step 3，platform auto connect with the AP
对应函数：check_wifi_auto_reconnected(...)</t>
  </si>
  <si>
    <t>[{"kind": "step", "function_name": "step_connect_wifi", "description": "The connected AP is powered off/on：Connect an AP",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"step", "function_name": "step_power_off_ap", "description": "The connected AP is powered off/on：The AP power off", "category": "wifi", "tags": ["kind:step", "domain:wifi"], "params": {"ap_id": {"name": "ap_id", "type": "str", "required": false, "default": "AP1", "description": "AP标识"}}, "pre_conditions": [{"id": "step_connect_wifi", "type": "step", "reason": "前置步骤必须先完成"}], "post_conditions": []}, {"kind": "step", "function_name": "step_power_on_ap", "description": "The connected AP is powered off/on：The AP power on", "category": "wifi", "tags": ["kind:step", "domain:wifi"], "params": {"ap_id": {"name": "ap_id", "type": "str", "required": false, "default": "AP1", "description": "AP标识"}}, "pre_conditions": [{"id": "step_power_off_ap", "type": "step", "reason": "前置步骤必须先完成"}], "post_conditions": []}, {"kind": "check", "function_name": "check_wifi_disconnected", "description": "验证The connected AP is powered off/on：After step 2，platform disconnect with the AP", "category": "wifi", "tags": ["kind:check", "domain:wifi"], "params": {}, "pre_conditions": [{"id": "step_power_on_ap", "type": "step", "reason": "需先完成测试步骤"}], "post_conditions": []}, {"kind": "check", "function_name": "check_wifi_auto_reconnected", "description": "验证The connected AP is powered off/on：After step 3，platform auto connect with the AP", "category": "wifi", "tags": ["kind:check", "domain:wifi"], "params": {"expected_ssid": {"name": "expected_ssid", "type": "str", "required": false, "default": null, "description": "预期自动重连的SSID"}}, "pre_conditions": [{"id": "step_power_on_ap", "type": "step", "reason": "需先完成测试步骤"}], "post_conditions": []}]</t>
  </si>
  <si>
    <t>Wifi_Func_016</t>
  </si>
  <si>
    <t>AP2 fail, back to AP1</t>
  </si>
  <si>
    <t>connect another AP with wrong password</t>
  </si>
  <si>
    <t>connection fail. It will automatically switch to the AP1 connection</t>
  </si>
  <si>
    <t>Summary（概要）
在Connect AP场景下执行「AP2 fail, back to AP1」，验证：connection fail. It will automatically switch to t
Preconditions（前置条件/环境准备）
1. 平台已正常启动并进入系统
2. WiFi 模块已初始化
3. Multiple APs
Steps（操作步骤）
Step 1：connect another AP with wrong password
目的：完成「AP2 fail, back to AP1」测试操作
对应函数：step_connect_wifi(...)
Checks（检查点）
Check 1：connection fail. It will automatically switch to the AP1 connection
检查内容：connection fail. It will automatically switch to the AP1 connection
对应函数：check_wifi_connected(...)</t>
  </si>
  <si>
    <t>[{"kind": "step", "function_name": "step_connect_wifi", "description": "AP2 fail, back to AP1：connect another AP with wrong password",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"验证AP2 fail, back to AP1：connection fail. It will automatically switch to the AP1 con", "category": "wifi", "tags": ["kind:check", "domain:wifi"], "params": {"expected_ssid": {"name": "expected_ssid", "type": "str", "required": false, "default": null, "description": "预期已连接的SSID"}}, "pre_conditions": [{"id": "step_connect_wifi", "type": "step", "reason": "需先完成测试步骤"}], "post_conditions": []}]</t>
  </si>
  <si>
    <t>Wifi_Func_017</t>
  </si>
  <si>
    <t>AP2 successfull</t>
  </si>
  <si>
    <t>entering the correct password</t>
  </si>
  <si>
    <t>AP2 connects successfully and disconnects from AP1</t>
  </si>
  <si>
    <t>Summary（概要）
在Connect AP场景下执行「AP2 successfull」，验证：AP2 connects successfully and disconnects from AP1
Preconditions（前置条件/环境准备）
1. 平台已正常启动并进入系统
2. WiFi 模块已初始化
3. Multiple APs
Steps（操作步骤）
Step 1：entering the correct password
目的：完成「AP2 successfull」测试操作
对应函数：step_connect_wifi(...)
Checks（检查点）
Check 1：AP2 connects successfully and disconnects from AP1
检查内容：AP2 connects successfully and disconnects from AP1
对应函数：check_wifi_connected(...)</t>
  </si>
  <si>
    <t>[{"kind": "step", "function_name": "step_connect_wifi", "description": "AP2 successfull：entering the correct password",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"验证AP2 successfull：AP2 connects successfully and disconnects from AP1", "category": "wifi", "tags": ["kind:check", "domain:wifi"], "params": {"expected_ssid": {"name": "expected_ssid", "type": "str", "required": false, "default": null, "description": "预期已连接的SSID"}}, "pre_conditions": [{"id": "step_connect_wifi", "type": "step", "reason": "需先完成测试步骤"}], "post_conditions": []}]</t>
  </si>
  <si>
    <t>Wifi_Func_018</t>
  </si>
  <si>
    <t>Connected AP2 power off</t>
  </si>
  <si>
    <t>The currently connected AP2 is powered off</t>
  </si>
  <si>
    <t>1.The platform will disconnect from AP2 and automatically connect to AP1 with saved password.
2.If the platform saves the passwords of multiple APs, select an AP with the strongest signal strength to connect automatically</t>
  </si>
  <si>
    <t>Summary（概要）
在Connect AP场景下执行「Connected AP2 power off」，验证：The platform will disconnect from AP2 and automati；If the platform saves th
Preconditions（前置条件/环境准备）
1. 平台已正常启动并进入系统
2. WiFi 模块已初始化
3. Multiple APs
Steps（操作步骤）
Step 1：The currently connected AP2 is powered off
目的：完成「Connected AP2 power off」测试操作
对应函数：step_connect_wifi(...)
Checks（检查点）
Check 1：The platform will disconnect from AP2 and automatically connect to AP1 with save
检查内容：The platform will disconnect from AP2 and automatically connect to AP1 with saved password.
对应函数：check_wifi_connected(...)
Check 2：If the platform saves the passwords of multiple APs, select an AP with the stron
检查内容：If the platform saves the passwords of multiple APs, select an AP with the strongest signal strength to connect automatically
对应函数：check_wifi_connected(...)</t>
  </si>
  <si>
    <t>[{"kind": "step", "function_name": "step_connect_wifi", "description": "Connected AP2 power off：The currently connected AP2 is powered off",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"验证Connected AP2 power off：The platform will disconnect from AP2 and automatically conn", "category": "wifi", "tags": ["kind:check", "domain:wifi"], "params": {"expected_ssid": {"name": "expected_ssid", "type": "str", "required": false, "default": null, "description": "预期已连接的SSID"}}, "pre_conditions": [{"id": "step_connect_wifi", "type": "step", "reason": "需先完成测试步骤"}], "post_conditions": []}]</t>
  </si>
  <si>
    <t>Wifi_Func_019</t>
  </si>
  <si>
    <t>AP2  power on</t>
  </si>
  <si>
    <t>AP2 is powered on again</t>
  </si>
  <si>
    <t>In the AP LIST interface, AP2 will automatically update the current status, and the help text becomes "saved"</t>
  </si>
  <si>
    <t>Summary（概要）
在Connect AP场景下执行「AP2 power on」，验证：In the AP LIST interface, AP2 will automatically u
Preconditions（前置条件/环境准备）
1. 平台已正常启动并进入系统
2. WiFi 模块已初始化
3. Multiple APs
Steps（操作步骤）
Step 1：AP2 is powered on again
目的：完成「AP2 power on」测试操作
对应函数：step_power_on_ap(...)
Checks（检查点）
Check 1：In the AP LIST interface, AP2 will automatically update the current status, and
检查内容：In the AP LIST interface, AP2 will automatically update the current status, and the help text becomes "saved"
对应函数：check_ap_list_display(...)</t>
  </si>
  <si>
    <t>[{"kind": "step", "function_name": "step_power_on_ap", "description": "AP2 power on：AP2 is powered on again", "category": "wifi", "tags": ["kind:step", "domain:wifi"], "params": {"ap_id": {"name": "ap_id", "type": "str", "required": false, "default": "AP1", "description": "AP标识"}}, "pre_conditions": [], "post_conditions": []}, {"kind": "check", "function_name": "check_ap_list_display", "description": "验证AP2 power on：In the AP LIST interface, AP2 will automatically update the ", "category": "wifi", "tags": ["kind:check", "domain:wifi"], "params": {}, "pre_conditions": [{"id": "step_power_on_ap", "type": "step", "reason": "需先完成测试步骤"}], "post_conditions": []}]</t>
  </si>
  <si>
    <t>Wifi_Func_020</t>
  </si>
  <si>
    <t>Saved status connect</t>
  </si>
  <si>
    <t>Select AP2 again on the AP LIST interface,click "Connect" option</t>
  </si>
  <si>
    <t>Connect AP2 successful</t>
  </si>
  <si>
    <t>Summary（概要）
在Connect AP场景下执行「Saved status connect」，验证：Connect AP2 successful
Preconditions（前置条件/环境准备）
1. 平台已正常启动并进入系统
2. WiFi 模块已初始化
3. Multiple APs
Steps（操作步骤）
Step 1：Select AP2 again on the AP LIST interface,click "Connect" option
目的：完成「Saved status connect」测试操作
对应函数：step_connect_wifi(...)
Checks（检查点）
Check 1：Connect AP2 successful
检查内容：Connect AP2 successful
对应函数：check_wifi_connected(...)</t>
  </si>
  <si>
    <t>[{"kind": "step", "function_name": "step_connect_wifi", "description": "Saved status connect：Select AP2 again on the AP LIST interface,click \"Connect\" op",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"验证Saved status connect：Connect AP2 successful", "category": "wifi", "tags": ["kind:check", "domain:wifi"], "params": {"expected_ssid": {"name": "expected_ssid", "type": "str", "required": false, "default": null, "description": "预期已连接的SSID"}}, "pre_conditions": [{"id": "step_connect_wifi", "type": "step", "reason": "需先完成测试步骤"}], "post_conditions": []}]</t>
  </si>
  <si>
    <t>Wifi_Func_021</t>
  </si>
  <si>
    <t>Restart with wifi off</t>
  </si>
  <si>
    <t>Reboot the platform when the platform wifi switch is off</t>
  </si>
  <si>
    <r>
      <rPr>
        <sz val="9"/>
        <color theme="1"/>
        <rFont val="Arial"/>
        <family val="2"/>
      </rPr>
      <t xml:space="preserve">After restart </t>
    </r>
    <r>
      <rPr>
        <sz val="9"/>
        <color theme="1"/>
        <rFont val="宋体"/>
        <family val="3"/>
        <charset val="134"/>
      </rPr>
      <t>，</t>
    </r>
    <r>
      <rPr>
        <sz val="9"/>
        <color theme="1"/>
        <rFont val="Arial"/>
        <family val="2"/>
      </rPr>
      <t>wifi switch keep closing status</t>
    </r>
  </si>
  <si>
    <t>Summary（概要）
在Connect AP场景下执行「Restart with wifi off」，验证：After restart ，wifi switch keep closing status
Preconditions（前置条件/环境准备）
1. 平台已正常启动并进入系统
2. WiFi 模块已初始化
Steps（操作步骤）
Step 1：Reboot the platform when the platform wifi switch is off
目的：完成「Restart with wifi off」测试操作
对应函数：step_toggle_wifi(...)
Checks（检查点）
Check 1：After restart ，wifi switch keep closing status
检查内容：After restart ，wifi switch keep closing status
对应函数：check_after_restart_wifi_switch_k(...)</t>
  </si>
  <si>
    <t>[{"kind": "step", "function_name": "step_toggle_wifi", "description": "Restart with wifi off：Reboot the platform when the platform wifi switch is off", "category": "wifi", "tags": ["kind:step", "domain:wifi"], "params": {"enabled": {"name": "enabled", "type": "bool", "required": true, "default": false, "description": "False=关闭WiFi"}}, "pre_conditions": [], "post_conditions": []}, {"kind": "check", "function_name": "check_after_restart_wifi_switch_k", "description": "验证Restart with wifi off：After restart ，wifi switch keep closing status", "category": "wifi", "tags": ["kind:check", "domain:wifi"], "params": {}, "pre_conditions": [{"id": "step_toggle_wifi", "type": "step", "reason": "需先完成测试步骤"}], "post_conditions": []}]</t>
  </si>
  <si>
    <t>Wifi_Func_022</t>
  </si>
  <si>
    <t>Restart wifi ap connected</t>
  </si>
  <si>
    <t>Reboot the platform when the platform connect an AP</t>
  </si>
  <si>
    <r>
      <rPr>
        <sz val="9"/>
        <color theme="1"/>
        <rFont val="Arial"/>
        <family val="2"/>
      </rPr>
      <t xml:space="preserve">After restart </t>
    </r>
    <r>
      <rPr>
        <sz val="9"/>
        <color theme="1"/>
        <rFont val="宋体"/>
        <family val="3"/>
        <charset val="134"/>
      </rPr>
      <t>，</t>
    </r>
    <r>
      <rPr>
        <sz val="9"/>
        <color theme="1"/>
        <rFont val="Arial"/>
        <family val="2"/>
      </rPr>
      <t>wifi keep connectting status and search Internet normal</t>
    </r>
  </si>
  <si>
    <t>Summary（概要）
在Connect AP场景下执行「Restart wifi ap connected」，验证：After restart ，wifi keep connectting status and se
Preconditions（前置条件/环境准备）
1. 平台已正常启动并进入系统
2. WiFi 模块已初始化
Steps（操作步骤）
Step 1：Reboot the platform when the platform connect an AP
目的：完成「Restart wifi ap connected」测试操作
对应函数：step_connect_wifi(...)
Checks（检查点）
Check 1：After restart ，wifi keep connectting status and search Internet normal
检查内容：After restart ，wifi keep connectting status and search Internet normal
对应函数：check_wifi_state(...)</t>
  </si>
  <si>
    <t>[{"kind": "step", "function_name": "step_connect_wifi", "description": "Restart wifi ap connected：Reboot the platform when the platform connect an AP",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"check_wifi_state", "description": "验证Restart wifi ap connected：After restart ，wifi keep connectting status and search Inter", "category": "wifi", "tags": ["kind:check", "domain:wifi"], "params": {"expected": {"name": "expected", "type": "bool", "required": true, "default": true, "description": "True=WiFi应开启"}}, "pre_conditions": [{"id": "step_connect_wifi", "type": "step", "reason": "需先完成测试步骤"}], "post_conditions": []}]</t>
  </si>
  <si>
    <t>Wifi_Func_023</t>
  </si>
  <si>
    <t>Standby wake up reconnect</t>
  </si>
  <si>
    <t>wakeup the platform from standby when the platform connect an AP</t>
  </si>
  <si>
    <r>
      <rPr>
        <sz val="9"/>
        <color theme="1"/>
        <rFont val="Arial"/>
        <family val="2"/>
      </rPr>
      <t xml:space="preserve">After waking up </t>
    </r>
    <r>
      <rPr>
        <sz val="9"/>
        <color theme="1"/>
        <rFont val="宋体"/>
        <family val="3"/>
        <charset val="134"/>
      </rPr>
      <t>，</t>
    </r>
    <r>
      <rPr>
        <sz val="9"/>
        <color theme="1"/>
        <rFont val="Arial"/>
        <family val="2"/>
      </rPr>
      <t>wifi keep connectting status and search Internet normal</t>
    </r>
  </si>
  <si>
    <t>Summary（概要）
在Connect AP场景下执行「Standby wake up reconnect」，验证：After waking up ，wifi keep connectting status and
Preconditions（前置条件/环境准备）
1. 平台已正常启动并进入系统
2. WiFi 模块已初始化
Steps（操作步骤）
Step 1：wakeup the platform from standby when the platform connect an AP
目的：完成「Standby wake up reconnect」测试操作
对应函数：step_connect_wifi(...)
Checks（检查点）
Check 1：After waking up ，wifi keep connectting status and search Internet normal
检查内容：After waking up ，wifi keep connectting status and search Internet normal
对应函数：check_wifi_state(...)</t>
  </si>
  <si>
    <t>[{"kind": "step", "function_name": "step_connect_wifi", "description": "Standby wake up reconnect：wakeup the platform from standby when the platform connect a",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"check_wifi_state", "description": "验证Standby wake up reconnect：After waking up ，wifi keep connectting status and search Int", "category": "wifi", "tags": ["kind:check", "domain:wifi"], "params": {"expected": {"name": "expected", "type": "bool", "required": true, "default": true, "description": "True=WiFi应开启"}}, "pre_conditions": [{"id": "step_connect_wifi", "type": "step", "reason": "需先完成测试步骤"}], "post_conditions": []}]</t>
  </si>
  <si>
    <t>Wifi_Func_024</t>
  </si>
  <si>
    <t>Switch ap</t>
  </si>
  <si>
    <t>Switching connecting between AP1 and AP2</t>
  </si>
  <si>
    <t>Switch connecting successful</t>
  </si>
  <si>
    <t>Summary（概要）
在Connect AP场景下执行「Switch ap」，验证：Switch connecting successful
Preconditions（前置条件/环境准备）
1. 平台已正常启动并进入系统
2. WiFi 模块已初始化
Steps（操作步骤）
Step 1：Switching connecting between AP1 and AP2
目的：完成「Switch ap」测试操作
对应函数：step_connect_wifi(...)
Checks（检查点）
Check 1：Switch connecting successful
检查内容：Switch connecting successful
对应函数：check_wifi_connected(...)</t>
  </si>
  <si>
    <t>[{"kind": "step", "function_name": "step_connect_wifi", "description": "Switch ap：Switching connecting between AP1 and AP2",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"验证Switch ap：Switch connecting successful", "category": "wifi", "tags": ["kind:check", "domain:wifi"], "params": {"expected_ssid": {"name": "expected_ssid", "type": "str", "required": false, "default": null, "description": "预期已连接的SSID"}}, "pre_conditions": [{"id": "step_connect_wifi", "type": "step", "reason": "需先完成测试步骤"}], "post_conditions": []}]</t>
  </si>
  <si>
    <t>Wifi_Func_025</t>
  </si>
  <si>
    <t>switch DHCP and static</t>
  </si>
  <si>
    <t>Switching IP between DHCP and static</t>
  </si>
  <si>
    <t>Switch IP successful</t>
  </si>
  <si>
    <t>Summary（概要）
在Connect AP场景下执行「switch DHCP and static」，验证：Switch IP successful
Preconditions（前置条件/环境准备）
1. 平台已正常启动并进入系统
2. WiFi 模块已初始化
Steps（操作步骤）
Step 1：Switching IP between DHCP and static
目的：完成「switch DHCP and static」测试操作
对应函数：step_switch_wifi_ip_mode(...)
Checks（检查点）
Check 1：Switch IP successful
检查内容：Switch IP successful
对应函数：check_switch_ip_successful(...)</t>
  </si>
  <si>
    <t>[{"kind": "step", "function_name": "step_switch_wifi_ip_mode", "description": "switch DHCP and static：Switching IP between DHCP and static", "category": "wifi", "tags": ["kind:step", "domain:wifi"], "params": {"mode": {"name": "mode", "type": "str", "required": true, "default": "dhcp", "description": "IP模式: dhcp/static"}}, "pre_conditions": [], "post_conditions": []}, {"kind": "check", "function_name": "check_switch_ip_successful", "description": "验证switch DHCP and static：Switch IP successful", "category": "wifi", "tags": ["kind:check", "domain:wifi"], "params": {}, "pre_conditions": [{"id": "step_switch_wifi_ip_mode", "type": "step", "reason": "需先完成测试步骤"}], "post_conditions": []}]</t>
  </si>
  <si>
    <t>Wifi_Func_028</t>
  </si>
  <si>
    <t>Connect AP with 1 bits name</t>
  </si>
  <si>
    <r>
      <rPr>
        <sz val="9"/>
        <color theme="1"/>
        <rFont val="Arial"/>
        <family val="2"/>
      </rPr>
      <t>SSID is set to 1 character or number</t>
    </r>
    <r>
      <rPr>
        <sz val="9"/>
        <color theme="1"/>
        <rFont val="宋体"/>
        <family val="3"/>
        <charset val="134"/>
      </rPr>
      <t>，</t>
    </r>
    <r>
      <rPr>
        <sz val="9"/>
        <color theme="1"/>
        <rFont val="Arial"/>
        <family val="2"/>
      </rPr>
      <t>then platform connect the AP</t>
    </r>
  </si>
  <si>
    <t>Platform connect the AP successful</t>
  </si>
  <si>
    <t>Summary（概要）
在Connect AP场景下执行「Connect AP with 1 bits name」，验证：Platform connect the AP successful
Preconditions（前置条件/环境准备）
1. 平台已正常启动并进入系统
2. WiFi 模块已初始化
Steps（操作步骤）
Step 1：SSID is set to 1 character or number，then platform connect the AP
目的：完成「Connect AP with 1 bits name」测试操作
对应函数：step_connect_wifi(...)
Checks（检查点）
Check 1：Platform connect the AP successful
检查内容：Platform connect the AP successful
对应函数：check_wifi_connected(...)</t>
  </si>
  <si>
    <t>[{"kind": "step", "function_name": "step_connect_wifi", "description": "Connect AP with 1 bits name：SSID is set to 1 character or number，then platform connect t",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1 bits name：Platform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</si>
  <si>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Wifi_Func_029</t>
  </si>
  <si>
    <t>Connect AP with 10 bits name</t>
  </si>
  <si>
    <r>
      <rPr>
        <sz val="9"/>
        <color theme="1"/>
        <rFont val="Arial"/>
        <family val="2"/>
      </rPr>
      <t>SSID is set to 10 character or number</t>
    </r>
    <r>
      <rPr>
        <sz val="9"/>
        <color theme="1"/>
        <rFont val="宋体"/>
        <family val="3"/>
        <charset val="134"/>
      </rPr>
      <t>，</t>
    </r>
    <r>
      <rPr>
        <sz val="9"/>
        <color theme="1"/>
        <rFont val="Arial"/>
        <family val="2"/>
      </rPr>
      <t>then platform connect the AP</t>
    </r>
  </si>
  <si>
    <t>Summary（概要）
在Connect AP场景下执行「Connect AP with 10 bits name」，验证：Platform connect the AP successful
Preconditions（前置条件/环境准备）
1. 平台已正常启动并进入系统
2. WiFi 模块已初始化
Steps（操作步骤）
Step 1：SSID is set to 10 character or number，then platform connect the AP
目的：完成「Connect AP with 10 bits name」测试操作
对应函数：step_connect_wifi(...)
Checks（检查点）
Check 1：Platform connect the AP successful
检查内容：Platform connect the AP successful
对应函数：check_wifi_connected(...)</t>
  </si>
  <si>
    <t>[{"kind": "step", "function_name": "step_connect_wifi", "description": "Connect AP with 10 bits name：SSID is set to 10 character or number，then platform connect ",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10 bits name：Platform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</si>
  <si>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Wifi_Func_030</t>
  </si>
  <si>
    <t>Connect AP with 32 bits name</t>
  </si>
  <si>
    <r>
      <rPr>
        <sz val="9"/>
        <color theme="1"/>
        <rFont val="Arial"/>
        <family val="2"/>
      </rPr>
      <t>SSID is set to 32 character or number</t>
    </r>
    <r>
      <rPr>
        <sz val="9"/>
        <color theme="1"/>
        <rFont val="宋体"/>
        <family val="3"/>
        <charset val="134"/>
      </rPr>
      <t>，</t>
    </r>
    <r>
      <rPr>
        <sz val="9"/>
        <color theme="1"/>
        <rFont val="Arial"/>
        <family val="2"/>
      </rPr>
      <t>then platform connect the AP</t>
    </r>
  </si>
  <si>
    <t>Summary（概要）
在Connect AP场景下执行「Connect AP with 32 bits name」，验证：Platform connect the AP successful
Preconditions（前置条件/环境准备）
1. 平台已正常启动并进入系统
2. WiFi 模块已初始化
Steps（操作步骤）
Step 1：SSID is set to 32 character or number，then platform connect the AP
目的：完成「Connect AP with 32 bits name」测试操作
对应函数：step_connect_wifi(...)
Checks（检查点）
Check 1：Platform connect the AP successful
检查内容：Platform connect the AP successful
对应函数：check_wifi_connected(...)</t>
  </si>
  <si>
    <t>[{"kind": "step", "function_name": "step_connect_wifi", "description": "Connect AP with 32 bits name：SSID is set to 32 character or number，then platform connect ",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32 bits name：Platform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</si>
  <si>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Wifi_Func_031</t>
  </si>
  <si>
    <t>wireless mode 802.11 bg</t>
  </si>
  <si>
    <t>Connect an AP which wireless mode is 802.11 bg</t>
  </si>
  <si>
    <t>Summary（概要）
在Connect AP场景下执行「wireless mode 802.11 bg」，验证：Platform connect the AP successful
Preconditions（前置条件/环境准备）
1. 平台已正常启动并进入系统
2. WiFi 模块已初始化
Steps（操作步骤）
Step 1：Connect an AP which wireless mode is 802.11 bg
目的：完成「wireless mode 802.11 bg」测试操作
对应函数：step_connect_wifi(...)
Checks（检查点）
Check 1：Platform connect the AP successful
检查内容：Platform connect the AP successful
对应函数：check_wifi_connected(...)</t>
  </si>
  <si>
    <t>[{"kind": "step", "function_name": "step_connect_wifi", "description": "wireless mode 802.11 bg：Connect an AP which wireless mode is 802.11 bg",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"验证wireless mode 802.11 bg：Platform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</si>
  <si>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Wifi_Func_032</t>
  </si>
  <si>
    <t>wireless mode 802.11 b</t>
  </si>
  <si>
    <t>Connect an AP which wireless mode is 802.11 b</t>
  </si>
  <si>
    <t>Summary（概要）
在Connect AP场景下执行「wireless mode 802.11 b」，验证：Platform connect the AP successful
Preconditions（前置条件/环境准备）
1. 平台已正常启动并进入系统
2. WiFi 模块已初始化
Steps（操作步骤）
Step 1：Connect an AP which wireless mode is 802.11 b
目的：完成「wireless mode 802.11 b」测试操作
对应函数：step_connect_wifi(...)
Checks（检查点）
Check 1：Platform connect the AP successful
检查内容：Platform connect the AP successful
对应函数：check_wifi_connected(...)</t>
  </si>
  <si>
    <t>[{"kind": "step", "function_name": "step_connect_wifi", "description": "wireless mode 802.11 b：Connect an AP which wireless mode is 802.11 b",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"验证wireless mode 802.11 b：Platform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</si>
  <si>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Wifi_Func_033</t>
  </si>
  <si>
    <t>wireless mode 802.11 g</t>
  </si>
  <si>
    <t>Connect an AP which wireless mode is 802.11 g</t>
  </si>
  <si>
    <t>Summary（概要）
在Connect AP场景下执行「wireless mode 802.11 g」，验证：Platform connect the AP successful
Preconditions（前置条件/环境准备）
1. 平台已正常启动并进入系统
2. WiFi 模块已初始化
Steps（操作步骤）
Step 1：Connect an AP which wireless mode is 802.11 g
目的：完成「wireless mode 802.11 g」测试操作
对应函数：step_connect_wifi(...)
Checks（检查点）
Check 1：Platform connect the AP successful
检查内容：Platform connect the AP successful
对应函数：check_wifi_connected(...)</t>
  </si>
  <si>
    <t>[{"kind": "step", "function_name": "step_connect_wifi", "description": "wireless mode 802.11 g：Connect an AP which wireless mode is 802.11 g",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"验证wireless mode 802.11 g：Platform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</si>
  <si>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Wifi_Func_034</t>
  </si>
  <si>
    <t>wireless mode 802.11 n</t>
  </si>
  <si>
    <t>Connect an AP which wireless mode is 802.11 n</t>
  </si>
  <si>
    <t>Summary（概要）
在Connect AP场景下执行「wireless mode 802.11 n」，验证：Platform connect the AP successful
Preconditions（前置条件/环境准备）
1. 平台已正常启动并进入系统
2. WiFi 模块已初始化
Steps（操作步骤）
Step 1：Connect an AP which wireless mode is 802.11 n
目的：完成「wireless mode 802.11 n」测试操作
对应函数：step_connect_wifi(...)
Checks（检查点）
Check 1：Platform connect the AP successful
检查内容：Platform connect the AP successful
对应函数：check_wifi_connected(...)</t>
  </si>
  <si>
    <t>[{"kind": "step", "function_name": "step_connect_wifi", "description": "wireless mode 802.11 n：Connect an AP which wireless mode is 802.11 n",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"验证wireless mode 802.11 n：Platform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</si>
  <si>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Wifi_Func_035</t>
  </si>
  <si>
    <t>wireless mode AX</t>
  </si>
  <si>
    <t>Connect an AP which wireless mode is AX only</t>
  </si>
  <si>
    <r>
      <rPr>
        <sz val="9"/>
        <color theme="1"/>
        <rFont val="Arial"/>
        <family val="2"/>
      </rPr>
      <t>Platform connect the AP successful</t>
    </r>
    <r>
      <rPr>
        <sz val="9"/>
        <color theme="1"/>
        <rFont val="宋体"/>
        <family val="3"/>
        <charset val="134"/>
      </rPr>
      <t>（</t>
    </r>
    <r>
      <rPr>
        <sz val="9"/>
        <color theme="1"/>
        <rFont val="Arial"/>
        <family val="2"/>
      </rPr>
      <t>If DUT not support,DUT connect wifi6 AP fail</t>
    </r>
    <r>
      <rPr>
        <sz val="9"/>
        <color theme="1"/>
        <rFont val="宋体"/>
        <family val="3"/>
        <charset val="134"/>
      </rPr>
      <t>）</t>
    </r>
  </si>
  <si>
    <t>Summary（概要）
在Connect AP场景下执行「wireless mode AX」，验证：Platform connect the AP successful（If DUT not supp
Preconditions（前置条件/环境准备）
1. 平台已正常启动并进入系统
2. WiFi 模块已初始化
Steps（操作步骤）
Step 1：Connect an AP which wireless mode is AX only
目的：完成「wireless mode AX」测试操作
对应函数：step_connect_wifi(...)
Checks（检查点）
Check 1：Platform connect the AP successful（If DUT not support,DUT connect wifi6 AP fail）
检查内容：Platform connect the AP successful（If DUT not support,DUT connect wifi6 AP fail）
对应函数：check_wifi_connected(...)</t>
  </si>
  <si>
    <t>[{"kind": "step", "function_name": "step_connect_wifi", "description": "wireless mode AX：Connect an AP which wireless mode is AX only",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"验证wireless mode AX：Platform connect the AP successful（If DUT not support,DUT co", "category": "wifi", "tags": ["kind:check", "domain:wifi"], "params": {"expected_ssid": {"name": "expected_ssid", "type": "str", "required": false, "default": null, "description": "预期已连接的SSID"}}, "pre_conditions": [{"id": "step_connect_wifi", "type": "step", "reason": "需先完成测试步骤"}], "post_conditions": []}]</t>
  </si>
  <si>
    <t>Wifi_Func_036</t>
  </si>
  <si>
    <t>wireless mode AC</t>
  </si>
  <si>
    <t>Connect an AP which wireless mode is AC</t>
  </si>
  <si>
    <t>Summary（概要）
在Connect AP场景下执行「wireless mode AC」，验证：Platform connect the AP successful
Preconditions（前置条件/环境准备）
1. 平台已正常启动并进入系统
2. WiFi 模块已初始化
Steps（操作步骤）
Step 1：Connect an AP which wireless mode is AC
目的：完成「wireless mode AC」测试操作
对应函数：step_connect_wifi(...)
Checks（检查点）
Check 1：Platform connect the AP successful
检查内容：Platform connect the AP successful
对应函数：check_wifi_connected(...)</t>
  </si>
  <si>
    <t>[{"kind": "step", "function_name": "step_connect_wifi", "description": "wireless mode AC：Connect an AP which wireless mode is AC",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"验证wireless mode AC：Platform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</si>
  <si>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Wifi_Func_037</t>
  </si>
  <si>
    <t>wireless mode MIX</t>
  </si>
  <si>
    <t>Connect an AP which wireless mode is mix</t>
  </si>
  <si>
    <t>Summary（概要）
在Connect AP场景下执行「wireless mode MIX」，验证：Platform connect the AP successful
Preconditions（前置条件/环境准备）
1. 平台已正常启动并进入系统
2. WiFi 模块已初始化
Steps（操作步骤）
Step 1：Connect an AP which wireless mode is mix
目的：完成「wireless mode MIX」测试操作
对应函数：step_connect_wifi(...)
Checks（检查点）
Check 1：Platform connect the AP successful
检查内容：Platform connect the AP successful
对应函数：check_wifi_connected(...)</t>
  </si>
  <si>
    <t>[{"kind": "step", "function_name": "step_connect_wifi", "description": "wireless mode MIX：Connect an AP which wireless mode is mix",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"验证wireless mode MIX：Platform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</si>
  <si>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Wifi_Func_038</t>
  </si>
  <si>
    <t>bandwidth 20M &amp; channel 1</t>
  </si>
  <si>
    <t>Connect an AP with bandwidth 20M &amp; channel 1</t>
  </si>
  <si>
    <t>Summary（概要）
在Connect AP场景下执行「bandwidth 20M &amp; channel 1」，验证：Platform connect the AP successful
Preconditions（前置条件/环境准备）
1. 平台已正常启动并进入系统
2. WiFi 模块已初始化
Steps（操作步骤）
Step 1：Connect an AP with bandwidth 20M &amp; channel 1
目的：完成「bandwidth 20M &amp; channel 1」测试操作
对应函数：step_configure_ap_channel(...)
Checks（检查点）
Check 1：Platform connect the AP successful
检查内容：Platform connect the AP successful
对应函数：check_wifi_connected(...)</t>
  </si>
  <si>
    <t>[{"kind": "step", "function_name": "step_configure_ap_channel", "description": "bandwidth 20M &amp; channel 1：Connect an AP with bandwidth 20M &amp; channel 1",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20M &amp; channel 1：Platform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</si>
  <si>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Wifi_Func_039</t>
  </si>
  <si>
    <t>bandwidth 20M &amp; channel 2</t>
  </si>
  <si>
    <t>Connect an AP with bandwidth 20M &amp; channel 2</t>
  </si>
  <si>
    <t>Summary（概要）
在Connect AP场景下执行「bandwidth 20M &amp; channel 2」，验证：Platform connect the AP successful
Preconditions（前置条件/环境准备）
1. 平台已正常启动并进入系统
2. WiFi 模块已初始化
Steps（操作步骤）
Step 1：Connect an AP with bandwidth 20M &amp; channel 2
目的：完成「bandwidth 20M &amp; channel 2」测试操作
对应函数：step_configure_ap_channel(...)
Checks（检查点）
Check 1：Platform connect the AP successful
检查内容：Platform connect the AP successful
对应函数：check_wifi_connected(...)</t>
  </si>
  <si>
    <t>[{"kind": "step", "function_name": "step_configure_ap_channel", "description": "bandwidth 20M &amp; channel 2：Connect an AP with bandwidth 20M &amp; channel 2",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20M &amp; channel 2：Platform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</si>
  <si>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Wifi_Func_040</t>
  </si>
  <si>
    <t>bandwidth 20M &amp; channel 3</t>
  </si>
  <si>
    <t>Connect an AP with bandwidth 20M &amp; channel 3</t>
  </si>
  <si>
    <t>Summary（概要）
在Connect AP场景下执行「bandwidth 20M &amp; channel 3」，验证：Platform connect the AP successful
Preconditions（前置条件/环境准备）
1. 平台已正常启动并进入系统
2. WiFi 模块已初始化
Steps（操作步骤）
Step 1：Connect an AP with bandwidth 20M &amp; channel 3
目的：完成「bandwidth 20M &amp; channel 3」测试操作
对应函数：step_configure_ap_channel(...)
Checks（检查点）
Check 1：Platform connect the AP successful
检查内容：Platform connect the AP successful
对应函数：check_wifi_connected(...)</t>
  </si>
  <si>
    <t>[{"kind": "step", "function_name": "step_configure_ap_channel", "description": "bandwidth 20M &amp; channel 3：Connect an AP with bandwidth 20M &amp; channel 3",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20M &amp; channel 3：Platform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</si>
  <si>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Wifi_Func_041</t>
  </si>
  <si>
    <t>bandwidth 20M &amp; channel 4</t>
  </si>
  <si>
    <t>Connect an with bandwidth 20M &amp; channel 4</t>
  </si>
  <si>
    <t>Summary（概要）
在Connect AP场景下执行「bandwidth 20M &amp; channel 4」，验证：Platform connect the AP successful
Preconditions（前置条件/环境准备）
1. 平台已正常启动并进入系统
2. WiFi 模块已初始化
Steps（操作步骤）
Step 1：Connect an with bandwidth 20M &amp; channel 4
目的：完成「bandwidth 20M &amp; channel 4」测试操作
对应函数：step_configure_ap_channel(...)
Checks（检查点）
Check 1：Platform connect the AP successful
检查内容：Platform connect the AP successful
对应函数：check_wifi_connected(...)</t>
  </si>
  <si>
    <t>[{"kind": "step", "function_name": "step_configure_ap_channel", "description": "bandwidth 20M &amp; channel 4：Connect an with bandwidth 20M &amp; channel 4",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20M &amp; channel 4：Platform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</si>
  <si>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Wifi_Func_042</t>
  </si>
  <si>
    <t>bandwidth 40M &amp; channel 5</t>
  </si>
  <si>
    <t>Connect an AP with bandwidth 40M &amp; channel 5</t>
  </si>
  <si>
    <t>Summary（概要）
在Connect AP场景下执行「bandwidth 40M &amp; channel 5」，验证：Platform connect the AP successful
Preconditions（前置条件/环境准备）
1. 平台已正常启动并进入系统
2. WiFi 模块已初始化
Steps（操作步骤）
Step 1：Connect an AP with bandwidth 40M &amp; channel 5
目的：完成「bandwidth 40M &amp; channel 5」测试操作
对应函数：step_configure_ap_channel(...)
Checks（检查点）
Check 1：Platform connect the AP successful
检查内容：Platform connect the AP successful
对应函数：check_wifi_connected(...)</t>
  </si>
  <si>
    <t>[{"kind": "step", "function_name": "step_configure_ap_channel", "description": "bandwidth 40M &amp; channel 5：Connect an AP with bandwidth 40M &amp; channel 5",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40M &amp; channel 5：Platform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</si>
  <si>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Wifi_Func_043</t>
  </si>
  <si>
    <t>bandwidth 40M &amp; channel 6</t>
  </si>
  <si>
    <t>Connect an AP with bandwidth 40M &amp; channel 6</t>
  </si>
  <si>
    <t>Summary（概要）
在Connect AP场景下执行「bandwidth 40M &amp; channel 6」，验证：Platform connect the AP successful
Preconditions（前置条件/环境准备）
1. 平台已正常启动并进入系统
2. WiFi 模块已初始化
Steps（操作步骤）
Step 1：Connect an AP with bandwidth 40M &amp; channel 6
目的：完成「bandwidth 40M &amp; channel 6」测试操作
对应函数：step_configure_ap_channel(...)
Checks（检查点）
Check 1：Platform connect the AP successful
检查内容：Platform connect the AP successful
对应函数：check_wifi_connected(...)</t>
  </si>
  <si>
    <t>[{"kind": "step", "function_name": "step_configure_ap_channel", "description": "bandwidth 40M &amp; channel 6：Connect an AP with bandwidth 40M &amp; channel 6",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40M &amp; channel 6：Platform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</si>
  <si>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Wifi_Func_044</t>
  </si>
  <si>
    <t>bandwidth 40M &amp; channel 7</t>
  </si>
  <si>
    <t>Connect an AP with bandwidth 40M &amp; channel 7</t>
  </si>
  <si>
    <t>Summary（概要）
在Connect AP场景下执行「bandwidth 40M &amp; channel 7」，验证：Platform connect the AP successful
Preconditions（前置条件/环境准备）
1. 平台已正常启动并进入系统
2. WiFi 模块已初始化
Steps（操作步骤）
Step 1：Connect an AP with bandwidth 40M &amp; channel 7
目的：完成「bandwidth 40M &amp; channel 7」测试操作
对应函数：step_configure_ap_channel(...)
Checks（检查点）
Check 1：Platform connect the AP successful
检查内容：Platform connect the AP successful
对应函数：check_wifi_connected(...)</t>
  </si>
  <si>
    <t>[{"kind": "step", "function_name": "step_configure_ap_channel", "description": "bandwidth 40M &amp; channel 7：Connect an AP with bandwidth 40M &amp; channel 7",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40M &amp; channel 7：Platform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</si>
  <si>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Wifi_Func_045</t>
  </si>
  <si>
    <t>bandwidth 40M &amp; channel 8</t>
  </si>
  <si>
    <t>Connect an AP with bandwidth 40M &amp; channel 8</t>
  </si>
  <si>
    <t>Summary（概要）
在Connect AP场景下执行「bandwidth 40M &amp; channel 8」，验证：Platform connect the AP successful
Preconditions（前置条件/环境准备）
1. 平台已正常启动并进入系统
2. WiFi 模块已初始化
Steps（操作步骤）
Step 1：Connect an AP with bandwidth 40M &amp; channel 8
目的：完成「bandwidth 40M &amp; channel 8」测试操作
对应函数：step_configure_ap_channel(...)
Checks（检查点）
Check 1：Platform connect the AP successful
检查内容：Platform connect the AP successful
对应函数：check_wifi_connected(...)</t>
  </si>
  <si>
    <t>[{"kind": "step", "function_name": "step_configure_ap_channel", "description": "bandwidth 40M &amp; channel 8：Connect an AP with bandwidth 40M &amp; channel 8",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40M &amp; channel 8：Platform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</si>
  <si>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Wifi_Func_046</t>
  </si>
  <si>
    <t>bandwidth mix &amp; channel 9</t>
  </si>
  <si>
    <t>Connect an AP with bandwidth mix &amp; channel 9</t>
  </si>
  <si>
    <t>Summary（概要）
在Connect AP场景下执行「bandwidth mix &amp; channel 9」，验证：Platform connect the AP successful
Preconditions（前置条件/环境准备）
1. 平台已正常启动并进入系统
2. WiFi 模块已初始化
Steps（操作步骤）
Step 1：Connect an AP with bandwidth mix &amp; channel 9
目的：完成「bandwidth mix &amp; channel 9」测试操作
对应函数：step_configure_ap_channel(...)
Checks（检查点）
Check 1：Platform connect the AP successful
检查内容：Platform connect the AP successful
对应函数：check_wifi_connected(...)</t>
  </si>
  <si>
    <t>[{"kind": "step", "function_name": "step_configure_ap_channel", "description": "bandwidth mix &amp; channel 9：Connect an AP with bandwidth mix &amp; channel 9",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mix &amp; channel 9：Platform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</si>
  <si>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Wifi_Func_047</t>
  </si>
  <si>
    <t>bandwidth mix &amp; channel 10</t>
  </si>
  <si>
    <t>Connect an AP with bandwidth mix &amp; channel 10</t>
  </si>
  <si>
    <t>Summary（概要）
在Connect AP场景下执行「bandwidth mix &amp; channel 10」，验证：Platform connect the AP successful
Preconditions（前置条件/环境准备）
1. 平台已正常启动并进入系统
2. WiFi 模块已初始化
Steps（操作步骤）
Step 1：Connect an AP with bandwidth mix &amp; channel 10
目的：完成「bandwidth mix &amp; channel 10」测试操作
对应函数：step_configure_ap_channel(...)
Checks（检查点）
Check 1：Platform connect the AP successful
检查内容：Platform connect the AP successful
对应函数：check_wifi_connected(...)</t>
  </si>
  <si>
    <t>[{"kind": "step", "function_name": "step_configure_ap_channel", "description": "bandwidth mix &amp; channel 10：Connect an AP with bandwidth mix &amp; channel 10",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mix &amp; channel 10：Platform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</si>
  <si>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Wifi_Func_048</t>
  </si>
  <si>
    <t>bandwidth mix &amp; channel 11</t>
  </si>
  <si>
    <t>Connect an AP with bandwidth mix &amp; channel 11</t>
  </si>
  <si>
    <t>Summary（概要）
在Connect AP场景下执行「bandwidth mix &amp; channel 11」，验证：Platform connect the AP successful
Preconditions（前置条件/环境准备）
1. 平台已正常启动并进入系统
2. WiFi 模块已初始化
Steps（操作步骤）
Step 1：Connect an AP with bandwidth mix &amp; channel 11
目的：完成「bandwidth mix &amp; channel 11」测试操作
对应函数：step_configure_ap_channel(...)
Checks（检查点）
Check 1：Platform connect the AP successful
检查内容：Platform connect the AP successful
对应函数：check_wifi_connected(...)</t>
  </si>
  <si>
    <t>[{"kind": "step", "function_name": "step_configure_ap_channel", "description": "bandwidth mix &amp; channel 11：Connect an AP with bandwidth mix &amp; channel 11",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mix &amp; channel 11：Platform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</si>
  <si>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Wifi_Func_049</t>
  </si>
  <si>
    <t>bandwidth mix &amp; channel 12</t>
  </si>
  <si>
    <t>Connect an AP with bandwidth mix &amp; channel 12</t>
  </si>
  <si>
    <t>County US:can not display ap
County China: Platform connect the AP successful</t>
  </si>
  <si>
    <t>Summary（概要）
在Connect AP场景下执行「bandwidth mix &amp; channel 12」，验证：County US:can not display ap County China: Platfor
Preconditions（前置条件/环境准备）
1. 平台已正常启动并进入系统
2. WiFi 模块已初始化
Steps（操作步骤）
Step 1：Connect an AP with bandwidth mix &amp; channel 12
目的：完成「bandwidth mix &amp; channel 12」测试操作
对应函数：step_configure_ap_channel(...)
Checks（检查点）
Check 1：County US:can not display ap County China: Platform connect the AP successful
检查内容：County US:can not display ap County China: Platform connect the AP successful
对应函数：check_wifi_connected(...)</t>
  </si>
  <si>
    <t>[{"kind": "step", "function_name": "step_configure_ap_channel", "description": "bandwidth mix &amp; channel 12：Connect an AP with bandwidth mix &amp; channel 12",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mix &amp; channel 12：County US:can not display ap County China: Platform connect ", "category": "wifi", "tags": ["kind:check", "domain:wifi"], "params": {"expected_ssid": {"name": "expected_ssid", "type": "str", "required": false, "default": null, "description": "预期已连接的SSID"}}, "pre_conditions": [{"id": "step_configure_ap_channel", "type": "step", "reason": "需先完成测试步骤"}], "post_conditions": []}]</t>
  </si>
  <si>
    <t>Wifi_Func_050</t>
  </si>
  <si>
    <t>bandwidth 20M &amp; channel 13</t>
  </si>
  <si>
    <t>Connect an AP with bandwidth 20M &amp; channel 13</t>
  </si>
  <si>
    <t>Summary（概要）
在Connect AP场景下执行「bandwidth 20M &amp; channel 13」，验证：County US:can not display ap County China: Platfor
Preconditions（前置条件/环境准备）
1. 平台已正常启动并进入系统
2. WiFi 模块已初始化
Steps（操作步骤）
Step 1：Connect an AP with bandwidth 20M &amp; channel 13
目的：完成「bandwidth 20M &amp; channel 13」测试操作
对应函数：step_configure_ap_channel(...)
Checks（检查点）
Check 1：County US:can not display ap County China: Platform connect the AP successful
检查内容：County US:can not display ap County China: Platform connect the AP successful
对应函数：check_wifi_connected(...)</t>
  </si>
  <si>
    <t>[{"kind": "step", "function_name": "step_configure_ap_channel", "description": "bandwidth 20M &amp; channel 13：Connect an AP with bandwidth 20M &amp; channel 13",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20M &amp; channel 13：County US:can not display ap County China: Platform connect ", "category": "wifi", "tags": ["kind:check", "domain:wifi"], "params": {"expected_ssid": {"name": "expected_ssid", "type": "str", "required": false, "default": null, "description": "预期已连接的SSID"}}, "pre_conditions": [{"id": "step_configure_ap_channel", "type": "step", "reason": "需先完成测试步骤"}], "post_conditions": []}]</t>
  </si>
  <si>
    <t>Wifi_Func_051</t>
  </si>
  <si>
    <t>bandwidth 20M &amp; channel 36</t>
  </si>
  <si>
    <t>Connect an AP with bandwidth 20M &amp; channel 36</t>
  </si>
  <si>
    <t>Summary（概要）
在Connect AP场景下执行「bandwidth 20M &amp; channel 36」，验证：Platform connect the AP successful
Preconditions（前置条件/环境准备）
1. 平台已正常启动并进入系统
2. WiFi 模块已初始化
Steps（操作步骤）
Step 1：Connect an AP with bandwidth 20M &amp; channel 36
目的：完成「bandwidth 20M &amp; channel 36」测试操作
对应函数：step_configure_ap_channel(...)
Checks（检查点）
Check 1：Platform connect the AP successful
检查内容：Platform connect the AP successful
对应函数：check_wifi_connected(...)</t>
  </si>
  <si>
    <t>[{"kind": "step", "function_name": "step_configure_ap_channel", "description": "bandwidth 20M &amp; channel 36：Connect an AP with bandwidth 20M &amp; channel 36",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20M &amp; channel 36：Platform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</si>
  <si>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Wifi_Func_052</t>
  </si>
  <si>
    <t>bandwidth 40M &amp; channel 40</t>
  </si>
  <si>
    <t>Connect an AP with bandwidth 40M &amp; channel 40</t>
  </si>
  <si>
    <t>Summary（概要）
在Connect AP场景下执行「bandwidth 40M &amp; channel 40」，验证：Platform connect the AP successful
Preconditions（前置条件/环境准备）
1. 平台已正常启动并进入系统
2. WiFi 模块已初始化
Steps（操作步骤）
Step 1：Connect an AP with bandwidth 40M &amp; channel 40
目的：完成「bandwidth 40M &amp; channel 40」测试操作
对应函数：step_configure_ap_channel(...)
Checks（检查点）
Check 1：Platform connect the AP successful
检查内容：Platform connect the AP successful
对应函数：check_wifi_connected(...)</t>
  </si>
  <si>
    <t>[{"kind": "step", "function_name": "step_configure_ap_channel", "description": "bandwidth 40M &amp; channel 40：Connect an AP with bandwidth 40M &amp; channel 40",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40M &amp; channel 40：Platform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</si>
  <si>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Wifi_Func_053</t>
  </si>
  <si>
    <t>bandwidth 80M &amp; channel 44</t>
  </si>
  <si>
    <t>Connect an AP with bandwidth 80M &amp; channel 44</t>
  </si>
  <si>
    <t>Summary（概要）
在Connect AP场景下执行「bandwidth 80M &amp; channel 44」，验证：Platform connect the AP successful
Preconditions（前置条件/环境准备）
1. 平台已正常启动并进入系统
2. WiFi 模块已初始化
Steps（操作步骤）
Step 1：Connect an AP with bandwidth 80M &amp; channel 44
目的：完成「bandwidth 80M &amp; channel 44」测试操作
对应函数：step_configure_ap_channel(...)
Checks（检查点）
Check 1：Platform connect the AP successful
检查内容：Platform connect the AP successful
对应函数：check_wifi_connected(...)</t>
  </si>
  <si>
    <t>[{"kind": "step", "function_name": "step_configure_ap_channel", "description": "bandwidth 80M &amp; channel 44：Connect an AP with bandwidth 80M &amp; channel 44",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80M &amp; channel 44：Platform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</si>
  <si>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Wifi_Func_054</t>
  </si>
  <si>
    <t>bandwidth 160M &amp; channel 48</t>
  </si>
  <si>
    <t>Connect an AP with bandwidth 160M &amp; channel 48</t>
  </si>
  <si>
    <t>Summary（概要）
在Connect AP场景下执行「bandwidth 160M &amp; channel 48」，验证：Platform connect the AP successful
Preconditions（前置条件/环境准备）
1. 平台已正常启动并进入系统
2. WiFi 模块已初始化
Steps（操作步骤）
Step 1：Connect an AP with bandwidth 160M &amp; channel 48
目的：完成「bandwidth 160M &amp; channel 48」测试操作
对应函数：step_configure_ap_channel(...)
Checks（检查点）
Check 1：Platform connect the AP successful
检查内容：Platform connect the AP successful
对应函数：check_wifi_connected(...)</t>
  </si>
  <si>
    <t>[{"kind": "step", "function_name": "step_configure_ap_channel", "description": "bandwidth 160M &amp; channel 48：Connect an AP with bandwidth 160M &amp; channel 48",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160M &amp; channel 48：Platform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</si>
  <si>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Wifi_Func_055</t>
  </si>
  <si>
    <t>bandwidth 20M &amp; channel 52</t>
  </si>
  <si>
    <t>Connect an AP with bandwidth 20M &amp; channel 52</t>
  </si>
  <si>
    <t>Summary（概要）
在Connect AP场景下执行「bandwidth 20M &amp; channel 52」，验证：Platform connect the AP successful
Preconditions（前置条件/环境准备）
1. 平台已正常启动并进入系统
2. WiFi 模块已初始化
Steps（操作步骤）
Step 1：Connect an AP with bandwidth 20M &amp; channel 52
目的：完成「bandwidth 20M &amp; channel 52」测试操作
对应函数：step_configure_ap_channel(...)
Checks（检查点）
Check 1：Platform connect the AP successful
检查内容：Platform connect the AP successful
对应函数：check_wifi_connected(...)</t>
  </si>
  <si>
    <t>[{"kind": "step", "function_name": "step_configure_ap_channel", "description": "bandwidth 20M &amp; channel 52：Connect an AP with bandwidth 20M &amp; channel 52",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20M &amp; channel 52：Platform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</si>
  <si>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Wifi_Func_056</t>
  </si>
  <si>
    <t>bandwidth 20M &amp; channel 56</t>
  </si>
  <si>
    <t>Connect an AP with bandwidth 20M &amp; channel 56</t>
  </si>
  <si>
    <t>Summary（概要）
在Connect AP场景下执行「bandwidth 20M &amp; channel 56」，验证：Platform connect the AP successful
Preconditions（前置条件/环境准备）
1. 平台已正常启动并进入系统
2. WiFi 模块已初始化
Steps（操作步骤）
Step 1：Connect an AP with bandwidth 20M &amp; channel 56
目的：完成「bandwidth 20M &amp; channel 56」测试操作
对应函数：step_configure_ap_channel(...)
Checks（检查点）
Check 1：Platform connect the AP successful
检查内容：Platform connect the AP successful
对应函数：check_wifi_connected(...)</t>
  </si>
  <si>
    <t>[{"kind": "step", "function_name": "step_configure_ap_channel", "description": "bandwidth 20M &amp; channel 56：Connect an AP with bandwidth 20M &amp; channel 56",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20M &amp; channel 56：Platform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</si>
  <si>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Wifi_Func_057</t>
  </si>
  <si>
    <t>bandwidth 40M &amp; channel 60</t>
  </si>
  <si>
    <t>Connect an AP with bandwidth 40M &amp; channel 60</t>
  </si>
  <si>
    <t>Summary（概要）
在Connect AP场景下执行「bandwidth 40M &amp; channel 60」，验证：Platform connect the AP successful
Preconditions（前置条件/环境准备）
1. 平台已正常启动并进入系统
2. WiFi 模块已初始化
Steps（操作步骤）
Step 1：Connect an AP with bandwidth 40M &amp; channel 60
目的：完成「bandwidth 40M &amp; channel 60」测试操作
对应函数：step_configure_ap_channel(...)
Checks（检查点）
Check 1：Platform connect the AP successful
检查内容：Platform connect the AP successful
对应函数：check_wifi_connected(...)</t>
  </si>
  <si>
    <t>[{"kind": "step", "function_name": "step_configure_ap_channel", "description": "bandwidth 40M &amp; channel 60：Connect an AP with bandwidth 40M &amp; channel 60",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40M &amp; channel 60：Platform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</si>
  <si>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Wifi_Func_058</t>
  </si>
  <si>
    <t>bandwidth 40M &amp; channel 64</t>
  </si>
  <si>
    <t>Connect an AP with bandwidth 40M &amp; channel 64</t>
  </si>
  <si>
    <t>Summary（概要）
在Connect AP场景下执行「bandwidth 40M &amp; channel 64」，验证：Platform connect the AP successful
Preconditions（前置条件/环境准备）
1. 平台已正常启动并进入系统
2. WiFi 模块已初始化
Steps（操作步骤）
Step 1：Connect an AP with bandwidth 40M &amp; channel 64
目的：完成「bandwidth 40M &amp; channel 64」测试操作
对应函数：step_configure_ap_channel(...)
Checks（检查点）
Check 1：Platform connect the AP successful
检查内容：Platform connect the AP successful
对应函数：check_wifi_connected(...)</t>
  </si>
  <si>
    <t>[{"kind": "step", "function_name": "step_configure_ap_channel", "description": "bandwidth 40M &amp; channel 64：Connect an AP with bandwidth 40M &amp; channel 64",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40M &amp; channel 64：Platform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</si>
  <si>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Wifi_Func_059</t>
  </si>
  <si>
    <t>bandwidth 80M &amp; channel 149</t>
  </si>
  <si>
    <t>Connect an AP with bandwidth 80M &amp; channel 149</t>
  </si>
  <si>
    <t>Summary（概要）
在Connect AP场景下执行「bandwidth 80M &amp; channel 149」，验证：Platform connect the AP successful
Preconditions（前置条件/环境准备）
1. 平台已正常启动并进入系统
2. WiFi 模块已初始化
Steps（操作步骤）
Step 1：Connect an AP with bandwidth 80M &amp; channel 149
目的：完成「bandwidth 80M &amp; channel 149」测试操作
对应函数：step_configure_ap_channel(...)
Checks（检查点）
Check 1：Platform connect the AP successful
检查内容：Platform connect the AP successful
对应函数：check_wifi_connected(...)</t>
  </si>
  <si>
    <t>[{"kind": "step", "function_name": "step_configure_ap_channel", "description": "bandwidth 80M &amp; channel 149：Connect an AP with bandwidth 80M &amp; channel 149",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80M &amp; channel 149：Platform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</si>
  <si>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Wifi_Func_060</t>
  </si>
  <si>
    <t>bandwidth 80M &amp; channel 153</t>
  </si>
  <si>
    <t>Connect an AP with bandwidth 80M &amp; channel 153</t>
  </si>
  <si>
    <t>Summary（概要）
在Connect AP场景下执行「bandwidth 80M &amp; channel 153」，验证：Platform connect the AP successful
Preconditions（前置条件/环境准备）
1. 平台已正常启动并进入系统
2. WiFi 模块已初始化
Steps（操作步骤）
Step 1：Connect an AP with bandwidth 80M &amp; channel 153
目的：完成「bandwidth 80M &amp; channel 153」测试操作
对应函数：step_configure_ap_channel(...)
Checks（检查点）
Check 1：Platform connect the AP successful
检查内容：Platform connect the AP successful
对应函数：check_wifi_connected(...)</t>
  </si>
  <si>
    <t>[{"kind": "step", "function_name": "step_configure_ap_channel", "description": "bandwidth 80M &amp; channel 153：Connect an AP with bandwidth 80M &amp; channel 153",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80M &amp; channel 153：Platform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</si>
  <si>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Wifi_Func_061</t>
  </si>
  <si>
    <t>bandwidth Mix &amp; channel 157</t>
  </si>
  <si>
    <t>Connect an AP with bandwidth Mix &amp; channel 157</t>
  </si>
  <si>
    <t>Summary（概要）
在Connect AP场景下执行「bandwidth Mix &amp; channel 157」，验证：Platform connect the AP successful
Preconditions（前置条件/环境准备）
1. 平台已正常启动并进入系统
2. WiFi 模块已初始化
Steps（操作步骤）
Step 1：Connect an AP with bandwidth Mix &amp; channel 157
目的：完成「bandwidth Mix &amp; channel 157」测试操作
对应函数：step_configure_ap_channel(...)
Checks（检查点）
Check 1：Platform connect the AP successful
检查内容：Platform connect the AP successful
对应函数：check_wifi_connected(...)</t>
  </si>
  <si>
    <t>[{"kind": "step", "function_name": "step_configure_ap_channel", "description": "bandwidth Mix &amp; channel 157：Connect an AP with bandwidth Mix &amp; channel 157",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Mix &amp; channel 157：Platform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</si>
  <si>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Wifi_Func_062</t>
  </si>
  <si>
    <t>bandwidth mix &amp; channel 161</t>
  </si>
  <si>
    <t>Connect an AP with bandwidth mix &amp; channel 161</t>
  </si>
  <si>
    <t>Summary（概要）
在Connect AP场景下执行「bandwidth mix &amp; channel 161」，验证：Platform connect the AP successful
Preconditions（前置条件/环境准备）
1. 平台已正常启动并进入系统
2. WiFi 模块已初始化
Steps（操作步骤）
Step 1：Connect an AP with bandwidth mix &amp; channel 161
目的：完成「bandwidth mix &amp; channel 161」测试操作
对应函数：step_configure_ap_channel(...)
Checks（检查点）
Check 1：Platform connect the AP successful
检查内容：Platform connect the AP successful
对应函数：check_wifi_connected(...)</t>
  </si>
  <si>
    <t>[{"kind": "step", "function_name": "step_configure_ap_channel", "description": "bandwidth mix &amp; channel 161：Connect an AP with bandwidth mix &amp; channel 161",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mix &amp; channel 161：Platform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</si>
  <si>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Wifi_Func_063</t>
  </si>
  <si>
    <t>bandwidth mix &amp; channel 165</t>
  </si>
  <si>
    <t>Connect an AP with bandwidth 20M &amp; channel 165</t>
  </si>
  <si>
    <t>Summary（概要）
在Connect AP场景下执行「bandwidth mix &amp; channel 165」，验证：Platform connect the AP successful
Preconditions（前置条件/环境准备）
1. 平台已正常启动并进入系统
2. WiFi 模块已初始化
Steps（操作步骤）
Step 1：Connect an AP with bandwidth 20M &amp; channel 165
目的：完成「bandwidth mix &amp; channel 165」测试操作
对应函数：step_configure_ap_channel(...)
Checks（检查点）
Check 1：Platform connect the AP successful
检查内容：Platform connect the AP successful
对应函数：check_wifi_connected(...)</t>
  </si>
  <si>
    <t>[{"kind": "step", "function_name": "step_configure_ap_channel", "description": "bandwidth mix &amp; channel 165：Connect an AP with bandwidth 20M &amp; channel 165", "category": "wifi", "tags": ["kind:step", "domain:wifi"], "params": {"channel": {"name": "channel", "type": "int", "required": true, "default": null, "description": "WiFi信道号"}, "bandwidth": {"name": "bandwidth", "type": "str", "required": true, "default": null, "description": "信道带宽：20M/40M/80M/160M/mix"}}, "pre_conditions": [], "post_conditions": []}, {"kind": "check", "function_name": "check_wifi_connected", "description": "验证bandwidth mix &amp; channel 165：Platform connect the AP successful", "category": "wifi", "tags": ["kind:check", "domain:wifi"], "params": {"expected_ssid": {"name": "expected_ssid", "type": "str", "required": false, "default": null, "description": "预期已连接的SSID"}}, "pre_conditions": [{"id": "step_configure_ap_channel", "type": "step", "reason": "需先完成测试步骤"}], "post_conditions": []}]</t>
  </si>
  <si>
    <t>Wifi_Func_064</t>
  </si>
  <si>
    <t>dual-band wifi</t>
  </si>
  <si>
    <t>Connect an 2.4G&amp;5G mixed AP</t>
  </si>
  <si>
    <t>Platform connect the mixed AP successful</t>
  </si>
  <si>
    <t>Summary（概要）
在Connect AP场景下执行「dual-band wifi」，验证：Platform connect the mixed AP successful
Preconditions（前置条件/环境准备）
1. 平台已正常启动并进入系统
2. WiFi 模块已初始化
Steps（操作步骤）
Step 1：Connect an 2.4G&amp;5G mixed AP
目的：完成「dual-band wifi」测试操作
对应函数：step_connect_wifi(...)
Checks（检查点）
Check 1：Platform connect the mixed AP successful
检查内容：Platform connect the mixed AP successful
对应函数：check_wifi_connected(...)</t>
  </si>
  <si>
    <t>[{"kind": "step", "function_name": "step_connect_wifi", "description": "dual-band wifi：Connect an 2.4G&amp;5G mixed AP",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"验证dual-band wifi：Platform connect the mixed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</si>
  <si>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Wifi_Func_065</t>
  </si>
  <si>
    <t>DUT connect with different signal: AP</t>
  </si>
  <si>
    <t>DUT connect with AP which signal is -15 dBm</t>
  </si>
  <si>
    <t>如何自动化控制 signal dB 设备</t>
  </si>
  <si>
    <t>Summary（概要）
在Connect AP场景下执行「DUT connect with different signal: AP」，验证：Platform connect the AP successful
Preconditions（前置条件/环境准备）
1. 平台已正常启动并进入系统
2. WiFi 模块已初始化
Steps（操作步骤）
Step 1：DUT connect with AP which signal is -15 dBm
目的：完成「DUT connect with different signal: AP」测试操作
对应函数：step_connect_wifi(...)
Checks（检查点）
Check 1：Platform connect the AP successful
检查内容：Platform connect the AP successful
对应函数：check_wifi_connected(...)</t>
  </si>
  <si>
    <t>[{"kind": "step", "function_name": "step_connect_wifi", "description": "DUT connect with different signal: AP：DUT connect with AP which signal is -15 dBm",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"验证DUT connect with different signal: AP：Platform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</si>
  <si>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Wifi_Func_066</t>
  </si>
  <si>
    <t>DUT connect with AP which signal is -40 dBm</t>
  </si>
  <si>
    <t>Summary（概要）
在Connect AP场景下执行「DUT connect with different signal: AP」，验证：Platform connect the AP successful
Preconditions（前置条件/环境准备）
1. 平台已正常启动并进入系统
2. WiFi 模块已初始化
Steps（操作步骤）
Step 1：DUT connect with AP which signal is -40 dBm
目的：完成「DUT connect with different signal: AP」测试操作
对应函数：step_connect_wifi(...)
Checks（检查点）
Check 1：Platform connect the AP successful
检查内容：Platform connect the AP successful
对应函数：check_wifi_connected(...)</t>
  </si>
  <si>
    <t>[{"kind": "step", "function_name": "step_connect_wifi", "description": "DUT connect with different signal: AP：DUT connect with AP which signal is -40 dBm",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"验证DUT connect with different signal: AP：Platform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</si>
  <si>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Wifi_Func_067</t>
  </si>
  <si>
    <t>DUT connect with AP which signal is -65 dBm</t>
  </si>
  <si>
    <t>Summary（概要）
在Connect AP场景下执行「DUT connect with different signal: AP」，验证：Platform connect the AP successful
Preconditions（前置条件/环境准备）
1. 平台已正常启动并进入系统
2. WiFi 模块已初始化
Steps（操作步骤）
Step 1：DUT connect with AP which signal is -65 dBm
目的：完成「DUT connect with different signal: AP」测试操作
对应函数：step_connect_wifi(...)
Checks（检查点）
Check 1：Platform connect the AP successful
检查内容：Platform connect the AP successful
对应函数：check_wifi_connected(...)</t>
  </si>
  <si>
    <t>[{"kind": "step", "function_name": "step_connect_wifi", "description": "DUT connect with different signal: AP：DUT connect with AP which signal is -65 dBm",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"验证DUT connect with different signal: AP：Platform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</si>
  <si>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Wifi_Func_068</t>
  </si>
  <si>
    <t>Connect AP with different authentication method</t>
  </si>
  <si>
    <t>Router: AUSU RT-AX86u</t>
  </si>
  <si>
    <t>Connect an AP which authentication method is web &amp; 64bit</t>
  </si>
  <si>
    <t>Summary（概要）
在Connect AP场景下执行「Connect AP with different authentication method」，验证：Platform connect the AP successful
Preconditions（前置条件/环境准备）
1. 平台已正常启动并进入系统
2. WiFi 模块已初始化
3. Router: AUSU RT-AX86u
Steps（操作步骤）
Step 1：Connect an AP which authentication method is web &amp; 64bit
目的：完成「Connect AP with different authentication method」测试操作
对应函数：step_connect_wifi(...)
Checks（检查点）
Check 1：Platform connect the AP successful
检查内容：Platform connect the AP successful
对应函数：check_wifi_connected(...)</t>
  </si>
  <si>
    <t>[{"kind": "step", "function_name": "step_connect_wifi", "description": "Connect AP with different authentication method：Connect an AP which authentication method is web &amp; 64bit",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different authentication method：Platform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</si>
  <si>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Wifi_Func_069</t>
  </si>
  <si>
    <t>Connect an AP which authentication method is web &amp; 128bit</t>
  </si>
  <si>
    <t>Summary（概要）
在Connect AP场景下执行「Connect AP with different authentication method」，验证：Platform connect the AP successful
Preconditions（前置条件/环境准备）
1. 平台已正常启动并进入系统
2. WiFi 模块已初始化
3. Router: AUSU RT-AX86u
Steps（操作步骤）
Step 1：Connect an AP which authentication method is web &amp; 128bit
目的：完成「Connect AP with different authentication method」测试操作
对应函数：step_connect_wifi(...)
Checks（检查点）
Check 1：Platform connect the AP successful
检查内容：Platform connect the AP successful
对应函数：check_wifi_connected(...)</t>
  </si>
  <si>
    <t>[{"kind": "step", "function_name": "step_connect_wifi", "description": "Connect AP with different authentication method：Connect an AP which authentication method is web &amp; 128bit",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different authentication method：Platform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</si>
  <si>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Wifi_Func_070</t>
  </si>
  <si>
    <t>Connect an AP which authentication method is WPA2  &amp;AES</t>
  </si>
  <si>
    <t>Summary（概要）
在Connect AP场景下执行「Connect AP with different authentication method」，验证：Platform connect the AP successful
Preconditions（前置条件/环境准备）
1. 平台已正常启动并进入系统
2. WiFi 模块已初始化
3. Router: AUSU RT-AX86u
Steps（操作步骤）
Step 1：Connect an AP which authentication method is WPA2 &amp;AES
目的：完成「Connect AP with different authentication method」测试操作
对应函数：step_connect_wifi(...)
Checks（检查点）
Check 1：Platform connect the AP successful
检查内容：Platform connect the AP successful
对应函数：check_wifi_connected(...)</t>
  </si>
  <si>
    <t>[{"kind": "step", "function_name": "step_connect_wifi", "description": "Connect AP with different authentication method：Connect an AP which authentication method is WPA2 &amp;AES",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different authentication method：Platform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</si>
  <si>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Wifi_Func_071</t>
  </si>
  <si>
    <t>Connect an AP which authentication method is  WPA3  &amp;AES</t>
  </si>
  <si>
    <t>Summary（概要）
在Connect AP场景下执行「Connect AP with different authentication method」，验证：Platform connect the AP successful
Preconditions（前置条件/环境准备）
1. 平台已正常启动并进入系统
2. WiFi 模块已初始化
3. Router: AUSU RT-AX86u
Steps（操作步骤）
Step 1：Connect an AP which authentication method is WPA3 &amp;AES
目的：完成「Connect AP with different authentication method」测试操作
对应函数：step_connect_wifi(...)
Checks（检查点）
Check 1：Platform connect the AP successful
检查内容：Platform connect the AP successful
对应函数：check_wifi_connected(...)</t>
  </si>
  <si>
    <t>[{"kind": "step", "function_name": "step_connect_wifi", "description": "Connect AP with different authentication method：Connect an AP which authentication method is WPA3 &amp;AES",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different authentication method：Platform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</si>
  <si>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Wifi_Func_072</t>
  </si>
  <si>
    <t>Connect an AP which authentication method is Auto or mix &amp;AES</t>
  </si>
  <si>
    <t>Summary（概要）
在Connect AP场景下执行「Connect AP with different authentication method」，验证：Platform connect the AP successful
Preconditions（前置条件/环境准备）
1. 平台已正常启动并进入系统
2. WiFi 模块已初始化
3. Router: AUSU RT-AX86u
Steps（操作步骤）
Step 1：Connect an AP which authentication method is Auto or mix &amp;AES
目的：完成「Connect AP with different authentication method」测试操作
对应函数：step_connect_wifi(...)
Checks（检查点）
Check 1：Platform connect the AP successful
检查内容：Platform connect the AP successful
对应函数：check_wifi_connected(...)</t>
  </si>
  <si>
    <t>[{"kind": "step", "function_name": "step_connect_wifi", "description": "Connect AP with different authentication method：Connect an AP which authentication method is Auto or mix &amp;AE",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different authentication method：Platform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</si>
  <si>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Wifi_Func_073</t>
  </si>
  <si>
    <t>Connect an AP which authentication method is Auto or mix &amp;TKIP+AES</t>
  </si>
  <si>
    <t>Summary（概要）
在Connect AP场景下执行「Connect AP with different authentication method」，验证：Platform connect the AP successful
Preconditions（前置条件/环境准备）
1. 平台已正常启动并进入系统
2. WiFi 模块已初始化
3. Router: AUSU RT-AX86u
Steps（操作步骤）
Step 1：Connect an AP which authentication method is Auto or mix &amp;TKIP+AES
目的：完成「Connect AP with different authentication method」测试操作
对应函数：step_connect_wifi(...)
Checks（检查点）
Check 1：Platform connect the AP successful
检查内容：Platform connect the AP successful
对应函数：check_wifi_connected(...)</t>
  </si>
  <si>
    <t>[{"kind": "step", "function_name": "step_connect_wifi", "description": "Connect AP with different authentication method：Connect an AP which authentication method is Auto or mix &amp;TK",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different authentication method：Platform connect the AP successful", "category": "wifi", "tags": ["kind:check", "domain:wifi"], "params": {"expected_ssid": {"name": "expected_ssid", "type": "str", "required": false, "default": null, "description": "预期已连接的SSID"}}, "pre_conditions": [{"id": "step_connect_wifi", "type": "step", "reason": "需先完成测试步骤"}], "post_conditions": []}]</t>
  </si>
  <si>
    <t>Wifi_Func_074</t>
  </si>
  <si>
    <t>Connect an AP which authentication method is Enterprise at settings</t>
  </si>
  <si>
    <r>
      <rPr>
        <sz val="9"/>
        <color rgb="FF000000"/>
        <rFont val="Arial"/>
      </rPr>
      <t>At settings,DUT input account and password</t>
    </r>
    <r>
      <rPr>
        <sz val="9"/>
        <color rgb="FF000000"/>
        <rFont val="宋体"/>
      </rPr>
      <t>，</t>
    </r>
    <r>
      <rPr>
        <sz val="9"/>
        <color rgb="FF000000"/>
        <rFont val="Arial"/>
      </rPr>
      <t xml:space="preserve">Enterprise connect success </t>
    </r>
    <r>
      <rPr>
        <sz val="9"/>
        <color rgb="FF000000"/>
        <rFont val="宋体"/>
      </rPr>
      <t>（</t>
    </r>
    <r>
      <rPr>
        <sz val="9"/>
        <color rgb="FF000000"/>
        <rFont val="Arial"/>
      </rPr>
      <t>At shenzhen office</t>
    </r>
    <r>
      <rPr>
        <sz val="9"/>
        <color rgb="FF000000"/>
        <rFont val="宋体"/>
      </rPr>
      <t>，</t>
    </r>
    <r>
      <rPr>
        <sz val="9"/>
        <color rgb="FF000000"/>
        <rFont val="Arial"/>
      </rPr>
      <t>Apollo is Enterprise AP</t>
    </r>
    <r>
      <rPr>
        <sz val="9"/>
        <color rgb="FF000000"/>
        <rFont val="宋体"/>
      </rPr>
      <t>）</t>
    </r>
  </si>
  <si>
    <t>Summary（概要）
在Connect AP场景下执行「Connect AP with different authentication method」，验证：At settings,DUT input account and password，Enterpr
Preconditions（前置条件/环境准备）
1. 平台已正常启动并进入系统
2. WiFi 模块已初始化
Steps（操作步骤）
Step 1：Connect an AP which authentication method is Enterprise at settings
目的：完成「Connect AP with different authentication method」测试操作
对应函数：step_connect_wifi(...)
Checks（检查点）
Check 1：At settings,DUT input account and password，Enterprise connect success （At shenzh
检查内容：At settings,DUT input account and password，Enterprise connect success （At shenzhen office，Apollo is Enterprise AP）
对应函数：check_wifi_connected(...)</t>
  </si>
  <si>
    <t>[{"kind": "step", "function_name": "step_connect_wifi", "description": "Connect AP with different authentication method：Connect an AP which authentication method is Enterprise at s",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different authentication method：At settings,DUT input account and password，Enterprise connec", "category": "wifi", "tags": ["kind:check", "domain:wifi"], "params": {"expected_ssid": {"name": "expected_ssid", "type": "str", "required": false, "default": null, "description": "预期已连接的SSID"}}, "pre_conditions": [{"id": "step_connect_wifi", "type": "step", "reason": "需先完成测试步骤"}], "post_conditions": []}]</t>
  </si>
  <si>
    <t>Wifi_Func_075</t>
  </si>
  <si>
    <t>Connect an AP which authentication method is Enterprise at boot wizard</t>
  </si>
  <si>
    <r>
      <rPr>
        <sz val="9"/>
        <rFont val="Arial"/>
        <family val="2"/>
      </rPr>
      <t>At boot wizard,DUT input account and password</t>
    </r>
    <r>
      <rPr>
        <sz val="9"/>
        <rFont val="宋体"/>
        <family val="3"/>
        <charset val="134"/>
      </rPr>
      <t>，</t>
    </r>
    <r>
      <rPr>
        <sz val="9"/>
        <rFont val="Arial"/>
        <family val="2"/>
      </rPr>
      <t xml:space="preserve">Enterprise connect success </t>
    </r>
    <r>
      <rPr>
        <sz val="9"/>
        <rFont val="宋体"/>
        <family val="3"/>
        <charset val="134"/>
      </rPr>
      <t>（</t>
    </r>
    <r>
      <rPr>
        <sz val="9"/>
        <rFont val="Arial"/>
        <family val="2"/>
      </rPr>
      <t>At shenzhen office</t>
    </r>
    <r>
      <rPr>
        <sz val="9"/>
        <rFont val="宋体"/>
        <family val="3"/>
        <charset val="134"/>
      </rPr>
      <t>，</t>
    </r>
    <r>
      <rPr>
        <sz val="9"/>
        <rFont val="Arial"/>
        <family val="2"/>
      </rPr>
      <t>Apollo is Enterprise AP</t>
    </r>
    <r>
      <rPr>
        <sz val="9"/>
        <rFont val="宋体"/>
        <family val="3"/>
        <charset val="134"/>
      </rPr>
      <t>）</t>
    </r>
  </si>
  <si>
    <t>Summary（概要）
在Connect AP场景下执行「Connect AP with different authentication method」，验证：At boot wizard,DUT input account and password，Ente
Preconditions（前置条件/环境准备）
1. 平台已正常启动并进入系统
2. WiFi 模块已初始化
Steps（操作步骤）
Step 1：Connect an AP which authentication method is Enterprise at boot wizard
目的：完成「Connect AP with different authentication method」测试操作
对应函数：step_connect_wifi(...)
Checks（检查点）
Check 1：At boot wizard,DUT input account and password，Enterprise connect success （At she
检查内容：At boot wizard,DUT input account and password，Enterprise connect success （At shenzhen office，Apollo is Enterprise AP）
对应函数：check_wifi_connected(...)</t>
  </si>
  <si>
    <t>[{"kind": "step", "function_name": "step_connect_wifi", "description": "Connect AP with different authentication method：Connect an AP which authentication method is Enterprise at b",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"check_wifi_connected", "description": "验证Connect AP with different authentication method：At boot wizard,DUT input account and password，Enterprise con", "category": "wifi", "tags": ["kind:check", "domain:wifi"], "params": {"expected_ssid": {"name": "expected_ssid", "type": "str", "required": false, "default": null, "description": "预期已连接的SSID"}}, "pre_conditions": [{"id": "step_connect_wifi", "type": "step", "reason": "需先完成测试步骤"}], "post_conditions": []}]</t>
  </si>
  <si>
    <t>Wifi_Func_076</t>
  </si>
  <si>
    <t>Connect AP with WPS method</t>
  </si>
  <si>
    <t>1.Press the WPS button on the router
2.Press the WPS button on the platform</t>
  </si>
  <si>
    <t>Summary（概要）
在Connect AP场景下执行「Connect AP with WPS method」，验证：Platform connect the AP successful
Preconditions（前置条件/环境准备）
1. 平台已正常启动并进入系统
2. WiFi 模块已初始化
Steps（操作步骤）
Step 1：Press the WPS button on the router
目的：完成「Connect AP with WPS method」测试操作
对应函数：step_connect_wifi_wps(...)
Step 2：Press the WPS button on the platform
目的：完成「Connect AP with WPS method」测试操作
对应函数：step_connect_wifi_wps(...)
Checks（检查点）
Check 1：Platform connect the AP successful
检查内容：Platform connect the AP successful
对应函数：check_wifi_connected(...)</t>
  </si>
  <si>
    <t>[{"kind": "step", "function_name": "step_connect_wifi_wps", "description": "Connect AP with WPS method：Press the WPS button on the router", "category": "wifi", "tags": ["kind:step", "domain:wifi"], "params": {"method": {"name": "method", "type": "str", "required": false, "default": "button", "description": "WPS方式：button/pin"}}, "pre_conditions": [], "post_conditions": []}, {"kind": "check", "function_name": "check_wifi_connected", "description": "验证Connect AP with WPS method：Platform connect the AP successful", "category": "wifi", "tags": ["kind:check", "domain:wifi"], "params": {"expected_ssid": {"name": "expected_ssid", "type": "str", "required": false, "default": null, "description": "预期已连接的SSID"}}, "pre_conditions": [{"id": "step_connect_wifi_wps", "type": "step", "reason": "需先完成测试步骤"}], "post_conditions": []}]</t>
  </si>
  <si>
    <t>Wifi_Func_077</t>
  </si>
  <si>
    <t>Connecting time</t>
  </si>
  <si>
    <t>Time required to connect to the AP</t>
  </si>
  <si>
    <t>Connect the AP with the encryption method as open</t>
  </si>
  <si>
    <t>Platform connection needs 5~10</t>
  </si>
  <si>
    <t>Summary（概要）
在Connecting time场景下执行「Time required to connect to the AP」，验证：Platform connection needs 5~10
Preconditions（前置条件/环境准备）
1. 平台已正常启动并进入系统
2. WiFi 模块已初始化
Steps（操作步骤）
Step 1：Connect the AP with the encryption method as open
目的：完成「Time required to connect to the AP」测试操作
对应函数：step_connect_wifi(...)
Checks（检查点）
Check 1：Platform connection needs 5~10
检查内容：Platform connection needs 5~10
对应函数：check_wifi_connection_time(...)</t>
  </si>
  <si>
    <t>[{"kind": "step", "function_name": "step_connect_wifi", "description": "Time required to connect to the AP：Connect the AP with the encryption method as open",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"check_wifi_connection_time", "description": "验证Time required to connect to the AP：Platform connection needs 5~10", "category": "wifi", "tags": ["kind:check", "domain:wifi"], "params": {"max_seconds": {"name": "max_seconds", "type": "int", "required": true, "default": 15, "description": "连接时间上限（秒）"}, "min_seconds": {"name": "min_seconds", "type": "int", "required": false, "default": 5, "description": "连接时间下限（秒）"}}, "pre_conditions": [{"id": "step_connect_wifi", "type": "step", "reason": "需先完成测试步骤"}], "post_conditions": []}]</t>
  </si>
  <si>
    <t>Wifi_Func_078</t>
  </si>
  <si>
    <t>Connect the AP with the encryption method as WEP</t>
  </si>
  <si>
    <t>Platform connection needs 10~15</t>
  </si>
  <si>
    <t>Summary（概要）
在Connecting time场景下执行「Time required to connect to the AP」，验证：Platform connection needs 10~15
Preconditions（前置条件/环境准备）
1. 平台已正常启动并进入系统
2. WiFi 模块已初始化
Steps（操作步骤）
Step 1：Connect the AP with the encryption method as WEP
目的：完成「Time required to connect to the AP」测试操作
对应函数：step_connect_wifi(...)
Checks（检查点）
Check 1：Platform connection needs 10~15
检查内容：Platform connection needs 10~15
对应函数：check_wifi_connection_time(...)</t>
  </si>
  <si>
    <t>[{"kind": "step", "function_name": "step_connect_wifi", "description": "Time required to connect to the AP：Connect the AP with the encryption method as WEP",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"check_wifi_connection_time", "description": "验证Time required to connect to the AP：Platform connection needs 10~15", "category": "wifi", "tags": ["kind:check", "domain:wifi"], "params": {"max_seconds": {"name": "max_seconds", "type": "int", "required": true, "default": 15, "description": "连接时间上限（秒）"}, "min_seconds": {"name": "min_seconds", "type": "int", "required": false, "default": 5, "description": "连接时间下限（秒）"}}, "pre_conditions": [{"id": "step_connect_wifi", "type": "step", "reason": "需先完成测试步骤"}], "post_conditions": []}]</t>
  </si>
  <si>
    <t>Wifi_Func_079</t>
  </si>
  <si>
    <t>Connect the AP with the encryption method as WPA</t>
  </si>
  <si>
    <t>Summary（概要）
在Connecting time场景下执行「Time required to connect to the AP」，验证：Platform connection needs 5~10
Preconditions（前置条件/环境准备）
1. 平台已正常启动并进入系统
2. WiFi 模块已初始化
Steps（操作步骤）
Step 1：Connect the AP with the encryption method as WPA
目的：完成「Time required to connect to the AP」测试操作
对应函数：step_connect_wifi(...)
Checks（检查点）
Check 1：Platform connection needs 5~10
检查内容：Platform connection needs 5~10
对应函数：check_wifi_connection_time(...)</t>
  </si>
  <si>
    <t>[{"kind": "step", "function_name": "step_connect_wifi", "description": "Time required to connect to the AP：Connect the AP with the encryption method as WPA",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"check_wifi_connection_time", "description": "验证Time required to connect to the AP：Platform connection needs 5~10", "category": "wifi", "tags": ["kind:check", "domain:wifi"], "params": {"max_seconds": {"name": "max_seconds", "type": "int", "required": true, "default": 15, "description": "连接时间上限（秒）"}, "min_seconds": {"name": "min_seconds", "type": "int", "required": false, "default": 5, "description": "连接时间下限（秒）"}}, "pre_conditions": [{"id": "step_connect_wifi", "type": "step", "reason": "需先完成测试步骤"}], "post_conditions": []}]</t>
  </si>
  <si>
    <t>Wifi_Func_080</t>
  </si>
  <si>
    <t>Connect the AP with the encryption method as WPA2</t>
  </si>
  <si>
    <t>Summary（概要）
在Connecting time场景下执行「Time required to connect to the AP」，验证：Platform connection needs 5~10
Preconditions（前置条件/环境准备）
1. 平台已正常启动并进入系统
2. WiFi 模块已初始化
Steps（操作步骤）
Step 1：Connect the AP with the encryption method as WPA2
目的：完成「Time required to connect to the AP」测试操作
对应函数：step_connect_wifi(...)
Checks（检查点）
Check 1：Platform connection needs 5~10
检查内容：Platform connection needs 5~10
对应函数：check_wifi_connection_time(...)</t>
  </si>
  <si>
    <t>[{"kind": "step", "function_name": "step_connect_wifi", "description": "Time required to connect to the AP：Connect the AP with the encryption method as WPA2",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"check_wifi_connection_time", "description": "验证Time required to connect to the AP：Platform connection needs 5~10", "category": "wifi", "tags": ["kind:check", "domain:wifi"], "params": {"max_seconds": {"name": "max_seconds", "type": "int", "required": true, "default": 15, "description": "连接时间上限（秒）"}, "min_seconds": {"name": "min_seconds", "type": "int", "required": false, "default": 5, "description": "连接时间下限（秒）"}}, "pre_conditions": [{"id": "step_connect_wifi", "type": "step", "reason": "需先完成测试步骤"}], "post_conditions": []}]</t>
  </si>
  <si>
    <t>Wifi_Func_081</t>
  </si>
  <si>
    <t>Connect the AP with the encryption method as WPA3</t>
  </si>
  <si>
    <t>Summary（概要）
在Connecting time场景下执行「Time required to connect to the AP」，验证：Platform connection needs 5~10
Preconditions（前置条件/环境准备）
1. 平台已正常启动并进入系统
2. WiFi 模块已初始化
Steps（操作步骤）
Step 1：Connect the AP with the encryption method as WPA3
目的：完成「Time required to connect to the AP」测试操作
对应函数：step_connect_wifi(...)
Checks（检查点）
Check 1：Platform connection needs 5~10
检查内容：Platform connection needs 5~10
对应函数：check_wifi_connection_time(...)</t>
  </si>
  <si>
    <t>[{"kind": "step", "function_name": "step_connect_wifi", "description": "Time required to connect to the AP：Connect the AP with the encryption method as WPA3",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"check_wifi_connection_time", "description": "验证Time required to connect to the AP：Platform connection needs 5~10", "category": "wifi", "tags": ["kind:check", "domain:wifi"], "params": {"max_seconds": {"name": "max_seconds", "type": "int", "required": true, "default": 15, "description": "连接时间上限（秒）"}, "min_seconds": {"name": "min_seconds", "type": "int", "required": false, "default": 5, "description": "连接时间下限（秒）"}}, "pre_conditions": [{"id": "step_connect_wifi", "type": "step", "reason": "需先完成测试步骤"}], "post_conditions": []}]</t>
  </si>
  <si>
    <t>Wifi_Func_082</t>
  </si>
  <si>
    <t>Connect the AP with the encryption method as WPA/WPA2 mixed</t>
  </si>
  <si>
    <t>Summary（概要）
在Connecting time场景下执行「Time required to connect to the AP」，验证：Platform connection needs 5~10
Preconditions（前置条件/环境准备）
1. 平台已正常启动并进入系统
2. WiFi 模块已初始化
Steps（操作步骤）
Step 1：Connect the AP with the encryption method as WPA/WPA2 mixed
目的：完成「Time required to connect to the AP」测试操作
对应函数：step_connect_wifi(...)
Checks（检查点）
Check 1：Platform connection needs 5~10
检查内容：Platform connection needs 5~10
对应函数：check_wifi_connection_time(...)</t>
  </si>
  <si>
    <t>[{"kind": "step", "function_name": "step_connect_wifi", "description": "Time required to connect to the AP：Connect the AP with the encryption method as WPA/WPA2 mixed",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"check_wifi_connection_time", "description": "验证Time required to connect to the AP：Platform connection needs 5~10", "category": "wifi", "tags": ["kind:check", "domain:wifi"], "params": {"max_seconds": {"name": "max_seconds", "type": "int", "required": true, "default": 15, "description": "连接时间上限（秒）"}, "min_seconds": {"name": "min_seconds", "type": "int", "required": false, "default": 5, "description": "连接时间下限（秒）"}}, "pre_conditions": [{"id": "step_connect_wifi", "type": "step", "reason": "需先完成测试步骤"}], "post_conditions": []}]</t>
  </si>
  <si>
    <t>Wifi_Func_083</t>
  </si>
  <si>
    <t>Connect the AP with the encryption method as WPS</t>
  </si>
  <si>
    <t>Platform connection needs 20~30</t>
  </si>
  <si>
    <t>Summary（概要）
在Connecting time场景下执行「Time required to connect to the AP」，验证：Platform connection needs 20~30
Preconditions（前置条件/环境准备）
1. 平台已正常启动并进入系统
2. WiFi 模块已初始化
Steps（操作步骤）
Step 1：Connect the AP with the encryption method as WPS
目的：完成「Time required to connect to the AP」测试操作
对应函数：step_connect_wifi(...)
Checks（检查点）
Check 1：Platform connection needs 20~30
检查内容：Platform connection needs 20~30
对应函数：check_wifi_connection_time(...)</t>
  </si>
  <si>
    <t>[{"kind": "step", "function_name": "step_connect_wifi", "description": "Time required to connect to the AP：Connect the AP with the encryption method as WPS",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"check_wifi_connection_time", "description": "验证Time required to connect to the AP：Platform connection needs 20~30", "category": "wifi", "tags": ["kind:check", "domain:wifi"], "params": {"max_seconds": {"name": "max_seconds", "type": "int", "required": true, "default": 15, "description": "连接时间上限（秒）"}, "min_seconds": {"name": "min_seconds", "type": "int", "required": false, "default": 5, "description": "连接时间下限（秒）"}}, "pre_conditions": [{"id": "step_connect_wifi", "type": "step", "reason": "需先完成测试步骤"}], "post_conditions": []}]</t>
  </si>
  <si>
    <t>Wifi_Func_084</t>
  </si>
  <si>
    <t>Connect the AP with the encryption method as WPS PIN</t>
  </si>
  <si>
    <t>Summary（概要）
在Connecting time场景下执行「Time required to connect to the AP」，验证：Platform connection needs 20~30
Preconditions（前置条件/环境准备）
1. 平台已正常启动并进入系统
2. WiFi 模块已初始化
Steps（操作步骤）
Step 1：Connect the AP with the encryption method as WPS PIN
目的：完成「Time required to connect to the AP」测试操作
对应函数：step_connect_wifi(...)
Checks（检查点）
Check 1：Platform connection needs 20~30
检查内容：Platform connection needs 20~30
对应函数：check_wifi_connection_time(...)</t>
  </si>
  <si>
    <t>[{"kind": "step", "function_name": "step_connect_wifi", "description": "Time required to connect to the AP：Connect the AP with the encryption method as WPS PIN",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"check_wifi_connection_time", "description": "验证Time required to connect to the AP：Platform connection needs 20~30", "category": "wifi", "tags": ["kind:check", "domain:wifi"], "params": {"max_seconds": {"name": "max_seconds", "type": "int", "required": true, "default": 15, "description": "连接时间上限（秒）"}, "min_seconds": {"name": "min_seconds", "type": "int", "required": false, "default": 5, "description": "连接时间下限（秒）"}}, "pre_conditions": [{"id": "step_connect_wifi", "type": "step", "reason": "需先完成测试步骤"}], "post_conditions": []}]</t>
  </si>
  <si>
    <t>Wifi_Func_085</t>
  </si>
  <si>
    <t>Wifi hotspot</t>
  </si>
  <si>
    <t>Setting SSID</t>
  </si>
  <si>
    <t>SSID name enter 32 bits</t>
  </si>
  <si>
    <t>The SSID can be entered up to 31 bits</t>
  </si>
  <si>
    <t>需讨论热点实现 &amp;&amp; 验证方式</t>
  </si>
  <si>
    <t>Summary（概要）
在Wifi hotspot场景下执行「Setting SSID」，验证：The SSID can be entered up to 31 bits
Preconditions（前置条件/环境准备）
1. 平台已正常启动并进入系统
2. WiFi 模块已初始化
Steps（操作步骤）
Step 1：SSID name enter 32 bits
目的：完成「Setting SSID」测试操作
对应函数：step_configure_hotspot_ssid_password(...)
Checks（检查点）
Check 1：The SSID can be entered up to 31 bits
检查内容：The SSID can be entered up to 31 bits
对应函数：check_wifi_ssid_or_password_length_limit(...)</t>
  </si>
  <si>
    <t>[{"kind": "step", "function_name": "step_configure_hotspot_ssid_password", "description": "Setting SSID：SSID name enter 32 bits", "category": "wifi", "tags": ["kind:step", "domain:wifi"], "params": {"ssid": {"name": "ssid", "type": "str", "required": false, "default": null, "description": "热点SSID名称"}, "password": {"name": "password", "type": "str", "required": false, "default": null, "description": "热点密码"}}, "pre_conditions": [], "post_conditions": []}, {"kind": "check", "function_name": "check_wifi_ssid_or_password_length_limit", "description": "验证Setting SSID：The SSID can be entered up to 31 bits", "category": "wifi", "tags": ["kind:check", "domain:wifi"], "params": {}, "pre_conditions": [{"id": "step_configure_hotspot_ssid_password", "type": "step", "reason": "需先完成测试步骤"}], "post_conditions": []}]</t>
  </si>
  <si>
    <t>Wifi_Func_086</t>
  </si>
  <si>
    <t>Setting encryption method</t>
  </si>
  <si>
    <r>
      <rPr>
        <sz val="9"/>
        <color rgb="FF000000"/>
        <rFont val="Arial"/>
        <family val="2"/>
      </rPr>
      <t>Security settings</t>
    </r>
    <r>
      <rPr>
        <sz val="9"/>
        <color rgb="FF000000"/>
        <rFont val="宋体"/>
        <family val="3"/>
        <charset val="134"/>
      </rPr>
      <t>（</t>
    </r>
    <r>
      <rPr>
        <sz val="9"/>
        <color rgb="FF000000"/>
        <rFont val="Arial"/>
        <family val="2"/>
      </rPr>
      <t>Open or None</t>
    </r>
    <r>
      <rPr>
        <sz val="9"/>
        <color rgb="FF000000"/>
        <rFont val="宋体"/>
        <family val="3"/>
        <charset val="134"/>
      </rPr>
      <t>）</t>
    </r>
  </si>
  <si>
    <t>When set to Open, no password is required for connection</t>
  </si>
  <si>
    <t>Summary（概要）
在Wifi hotspot场景下执行「Setting encryption method」，验证：When set to Open, no password is required for conn
Preconditions（前置条件/环境准备）
1. 平台已正常启动并进入系统
2. WiFi 模块已初始化
Steps（操作步骤）
Step 1：Security settings（Open or None）
目的：完成「Setting encryption method」测试操作
对应函数：step_set_hotspot_security(...)
Checks（检查点）
Check 1：When set to Open, no password is required for connection
检查内容：When set to Open, no password is required for connection
对应函数：check_when_set_to_open_no_passwor(...)</t>
  </si>
  <si>
    <t>[{"kind": "step", "function_name": "step_set_hotspot_security", "description": "Setting encryption method：Security settings（Open or None）", "category": "wifi", "tags": ["kind:step", "domain:wifi"], "params": {"security_type": {"name": "security_type", "type": "str", "required": true, "default": null, "description": "加密方式：Open/WPA2-PSK"}}, "pre_conditions": [], "post_conditions": []}, {"kind": "check", "function_name": "check_when_set_to_open_no_passwor", "description": "验证Setting encryption method：When set to Open, no password is required for connection", "category": "wifi", "tags": ["kind:check", "domain:wifi"], "params": {}, "pre_conditions": [{"id": "step_set_hotspot_security", "type": "step", "reason": "需先完成测试步骤"}], "post_conditions": []}]</t>
  </si>
  <si>
    <t>Wifi_Func_087</t>
  </si>
  <si>
    <r>
      <rPr>
        <sz val="9"/>
        <rFont val="Arial"/>
        <family val="2"/>
      </rPr>
      <t>Security settings</t>
    </r>
    <r>
      <rPr>
        <sz val="9"/>
        <rFont val="宋体"/>
        <family val="3"/>
        <charset val="134"/>
      </rPr>
      <t>（</t>
    </r>
    <r>
      <rPr>
        <sz val="9"/>
        <rFont val="Arial"/>
        <family val="2"/>
      </rPr>
      <t>WPA2 PSK</t>
    </r>
    <r>
      <rPr>
        <sz val="9"/>
        <rFont val="宋体"/>
        <family val="3"/>
        <charset val="134"/>
      </rPr>
      <t>）</t>
    </r>
  </si>
  <si>
    <r>
      <rPr>
        <sz val="9"/>
        <color rgb="FF000000"/>
        <rFont val="Arial"/>
        <family val="2"/>
      </rPr>
      <t>When set encryption to WPA2</t>
    </r>
    <r>
      <rPr>
        <sz val="9"/>
        <color rgb="FF000000"/>
        <rFont val="宋体"/>
        <family val="3"/>
        <charset val="134"/>
      </rPr>
      <t>，</t>
    </r>
    <r>
      <rPr>
        <sz val="9"/>
        <color rgb="FF000000"/>
        <rFont val="Arial"/>
        <family val="2"/>
      </rPr>
      <t>other devices can enter the correct password to connect</t>
    </r>
  </si>
  <si>
    <t>Summary（概要）
在Wifi hotspot场景下执行「Setting encryption method」，验证：When set encryption to WPA2，other devices can ente
Preconditions（前置条件/环境准备）
1. 平台已正常启动并进入系统
2. WiFi 模块已初始化
Steps（操作步骤）
Step 1：Security settings（WPA2 PSK）
目的：完成「Setting encryption method」测试操作
对应函数：step_set_hotspot_security(...)
Checks（检查点）
Check 1：When set encryption to WPA2，other devices can enter the correct password to conn
检查内容：When set encryption to WPA2，other devices can enter the correct password to connect
对应函数：check_hotspot_client_connected(...)</t>
  </si>
  <si>
    <t>[{"kind": "step", "function_name": "step_set_hotspot_security", "description": "Setting encryption method：Security settings（WPA2 PSK）", "category": "wifi", "tags": ["kind:step", "domain:wifi"], "params": {"security_type": {"name": "security_type", "type": "str", "required": true, "default": null, "description": "加密方式：Open/WPA2-PSK"}}, "pre_conditions": [], "post_conditions": []}, {"kind": "check", "function_name": "check_hotspot_client_connected", "description": "验证Setting encryption method：When set encryption to WPA2，other devices can enter the corr", "category": "wifi", "tags": ["kind:check", "domain:wifi"], "params": {}, "pre_conditions": [{"id": "step_set_hotspot_security", "type": "step", "reason": "需先完成测试步骤"}], "post_conditions": []}]</t>
  </si>
  <si>
    <t>Wifi_Func_088</t>
  </si>
  <si>
    <t>Setting password</t>
  </si>
  <si>
    <t>password setting</t>
  </si>
  <si>
    <t>Password can be entered up to 63 bits</t>
  </si>
  <si>
    <t>Summary（概要）
在Wifi hotspot场景下执行「Setting password」，验证：Password can be entered up to 63 bits
Preconditions（前置条件/环境准备）
1. 平台已正常启动并进入系统
2. WiFi 模块已初始化
Steps（操作步骤）
Step 1：password setting
目的：完成「Setting password」测试操作
对应函数：step_configure_hotspot_ssid_password(...)
Checks（检查点）
Check 1：Password can be entered up to 63 bits
检查内容：Password can be entered up to 63 bits
对应函数：check_wifi_ssid_or_password_length_limit(...)</t>
  </si>
  <si>
    <t>[{"kind": "step", "function_name": "step_configure_hotspot_ssid_password", "description": "Setting password：password setting", "category": "wifi", "tags": ["kind:step", "domain:wifi"], "params": {"ssid": {"name": "ssid", "type": "str", "required": false, "default": null, "description": "热点SSID名称"}, "password": {"name": "password", "type": "str", "required": false, "default": null, "description": "热点密码"}}, "pre_conditions": [], "post_conditions": []}, {"kind": "check", "function_name": "check_wifi_ssid_or_password_length_limit", "description": "验证Setting password：Password can be entered up to 63 bits", "category": "wifi", "tags": ["kind:check", "domain:wifi"], "params": {}, "pre_conditions": [{"id": "step_configure_hotspot_ssid_password", "type": "step", "reason": "需先完成测试步骤"}], "post_conditions": []}]</t>
  </si>
  <si>
    <t>Wifi_Func_089</t>
  </si>
  <si>
    <t>open hotspot</t>
  </si>
  <si>
    <t>turning on Wifi Hotspot</t>
  </si>
  <si>
    <t>There will be a hot chart after turning on the hotspot</t>
  </si>
  <si>
    <t>Summary（概要）
在Wifi hotspot场景下执行「open hotspot」，验证：There will be a hot chart after turning on the hot
Preconditions（前置条件/环境准备）
1. 平台已正常启动并进入系统
2. WiFi 模块已初始化
Steps（操作步骤）
Step 1：turning on Wifi Hotspot
目的：完成「open hotspot」测试操作
对应函数：step_enable_wifi_hotspot(...)
Checks（检查点）
Check 1：There will be a hot chart after turning on the hotspot
检查内容：There will be a hot chart after turning on the hotspot
对应函数：check_hotspot_enabled(...)</t>
  </si>
  <si>
    <t>[{"kind": "step", "function_name": "step_enable_wifi_hotspot", "description": "open hotspot：turning on Wifi Hotspot", "category": "wifi", "tags": ["kind:step", "domain:wifi"], "params": {"ssid": {"name": "ssid", "type": "str", "required": false, "default": null, "description": "热点SSID"}, "password": {"name": "password", "type": "str", "required": false, "default": null, "description": "热点密码"}, "band": {"name": "band", "type": "str", "required": false, "default": "2.4G", "description": "频段：2.4G/5G"}}, "pre_conditions": [], "post_conditions": []}, {"kind": "check", "function_name": "check_hotspot_enabled", "description": "验证open hotspot：There will be a hot chart after turning on the hotspot", "category": "wifi", "tags": ["kind:check", "domain:wifi"], "params": {}, "pre_conditions": [{"id": "step_enable_wifi_hotspot", "type": "step", "reason": "需先完成测试步骤"}], "post_conditions": []}]</t>
  </si>
  <si>
    <t>Wifi_Func_090</t>
  </si>
  <si>
    <t>Setting AP band</t>
  </si>
  <si>
    <t>Setting AP band to 2.4G preferred</t>
  </si>
  <si>
    <r>
      <rPr>
        <sz val="9"/>
        <color rgb="FF000000"/>
        <rFont val="Arial"/>
        <family val="2"/>
      </rPr>
      <t>When AP band to 2.4G preferred</t>
    </r>
    <r>
      <rPr>
        <sz val="9"/>
        <color rgb="FF000000"/>
        <rFont val="宋体"/>
        <family val="3"/>
        <charset val="134"/>
      </rPr>
      <t>，</t>
    </r>
    <r>
      <rPr>
        <sz val="9"/>
        <color rgb="FF000000"/>
        <rFont val="Arial"/>
        <family val="2"/>
      </rPr>
      <t>other devices can enter the correct password to connect</t>
    </r>
  </si>
  <si>
    <t>Summary（概要）
在Wifi hotspot场景下执行「Setting AP band」，验证：When AP band to 2.4G preferred，other devices can e
Preconditions（前置条件/环境准备）
1. 平台已正常启动并进入系统
2. WiFi 模块已初始化
Steps（操作步骤）
Step 1：Setting AP band to 2.4G preferred
目的：完成「Setting AP band」测试操作
对应函数：step_set_hotspot_band(...)
Checks（检查点）
Check 1：When AP band to 2.4G preferred，other devices can enter the correct password to c
检查内容：When AP band to 2.4G preferred，other devices can enter the correct password to connect
对应函数：check_wifi_connected(...)</t>
  </si>
  <si>
    <t>[{"kind": "step", "function_name": "step_set_hotspot_band", "description": "Setting AP band：Setting AP band to 2.4G preferred", "category": "wifi", "tags": ["kind:step", "domain:wifi"], "params": {"band": {"name": "band", "type": "str", "required": true, "default": "2.4G", "description": "热点频段：2.4G preferred/5G preferred"}}, "pre_conditions": [], "post_conditions": []}, {"kind": "check", "function_name": "check_wifi_connected", "description": "验证Setting AP band：When AP band to 2.4G preferred，other devices can enter the c", "category": "wifi", "tags": ["kind:check", "domain:wifi"], "params": {"expected_ssid": {"name": "expected_ssid", "type": "str", "required": false, "default": null, "description": "预期已连接的SSID"}}, "pre_conditions": [{"id": "step_set_hotspot_band", "type": "step", "reason": "需先完成测试步骤"}], "post_conditions": []}]</t>
  </si>
  <si>
    <t>Wifi_Func_091</t>
  </si>
  <si>
    <t>Setting AP band to 5G preferred</t>
  </si>
  <si>
    <r>
      <rPr>
        <sz val="9"/>
        <color rgb="FFFF0000"/>
        <rFont val="Arial"/>
        <family val="2"/>
      </rPr>
      <t>When AP band to 5G preferred</t>
    </r>
    <r>
      <rPr>
        <sz val="9"/>
        <color rgb="FFFF0000"/>
        <rFont val="宋体"/>
        <family val="3"/>
        <charset val="134"/>
      </rPr>
      <t>，</t>
    </r>
    <r>
      <rPr>
        <sz val="9"/>
        <color rgb="FFFF0000"/>
        <rFont val="Arial"/>
        <family val="2"/>
      </rPr>
      <t>other devices can enter the correct password to connect</t>
    </r>
  </si>
  <si>
    <t>Summary（概要）
在Wifi hotspot场景下执行「Setting AP band」，验证：When AP band to 5G preferred，other devices can ent
Preconditions（前置条件/环境准备）
1. 平台已正常启动并进入系统
2. WiFi 模块已初始化
Steps（操作步骤）
Step 1：Setting AP band to 5G preferred
目的：完成「Setting AP band」测试操作
对应函数：step_set_hotspot_band(...)
Checks（检查点）
Check 1：When AP band to 5G preferred，other devices can enter the correct password to con
检查内容：When AP band to 5G preferred，other devices can enter the correct password to connect
对应函数：check_wifi_connected(...)</t>
  </si>
  <si>
    <t>[{"kind": "step", "function_name": "step_set_hotspot_band", "description": "Setting AP band：Setting AP band to 5G preferred", "category": "wifi", "tags": ["kind:step", "domain:wifi"], "params": {"band": {"name": "band", "type": "str", "required": true, "default": "2.4G", "description": "热点频段：2.4G preferred/5G preferred"}}, "pre_conditions": [], "post_conditions": []}, {"kind": "check", "function_name": "check_wifi_connected", "description": "验证Setting AP band：When AP band to 5G preferred，other devices can enter the cor", "category": "wifi", "tags": ["kind:check", "domain:wifi"], "params": {"expected_ssid": {"name": "expected_ssid", "type": "str", "required": false, "default": null, "description": "预期已连接的SSID"}}, "pre_conditions": [{"id": "step_set_hotspot_band", "type": "step", "reason": "需先完成测试步骤"}], "post_conditions": []}]</t>
  </si>
  <si>
    <t>Wifi_Func_092</t>
  </si>
  <si>
    <t>hotspot working</t>
  </si>
  <si>
    <t>Network source from Ethernet</t>
  </si>
  <si>
    <t>When the platform connect to Ethernet, the Wifi hotspot can be connected to visit the website.</t>
  </si>
  <si>
    <t>Summary（概要）
在Wifi hotspot场景下执行「hotspot working」，验证：When the platform connect to Ethernet, the Wifi ho
Preconditions（前置条件/环境准备）
1. 平台已正常启动并进入系统
2. WiFi 模块已初始化
Steps（操作步骤）
Step 1：Network source from Ethernet
目的：完成「hotspot working」测试操作
对应函数：step_network_source_from_ethernet(...)
Checks（检查点）
Check 1：When the platform connect to Ethernet, the Wifi hotspot can be connected to visi
检查内容：When the platform connect to Ethernet, the Wifi hotspot can be connected to visit the website.
对应函数：check_wifi_state(...)</t>
  </si>
  <si>
    <t>[{"kind": "step", "function_name": "step_network_source_from_ethernet", "description": "hotspot working：Network source from Ethernet", "category": "wifi", "tags": ["kind:step", "domain:wifi"], "params": {}, "pre_conditions": [], "post_conditions": []}, {"kind": "check", "function_name": "check_wifi_state", "description": "验证hotspot working：When the platform connect to Ethernet, the Wifi hotspot can ", "category": "wifi", "tags": ["kind:check", "domain:wifi"], "params": {"expected": {"name": "expected", "type": "bool", "required": true, "default": true, "description": "True=WiFi应开启"}}, "pre_conditions": [{"id": "step_network_source_from_ethernet", "type": "step", "reason": "需先完成测试步骤"}], "post_conditions": []}]</t>
  </si>
  <si>
    <t>Wifi_Func_093</t>
  </si>
  <si>
    <t>reboot with hotspot</t>
  </si>
  <si>
    <t>Reboot the platform when the platform open  hotspot</t>
  </si>
  <si>
    <r>
      <rPr>
        <sz val="9"/>
        <color rgb="FF000000"/>
        <rFont val="Arial"/>
        <family val="2"/>
      </rPr>
      <t>After restart</t>
    </r>
    <r>
      <rPr>
        <sz val="9"/>
        <color rgb="FF000000"/>
        <rFont val="宋体"/>
        <family val="3"/>
        <charset val="134"/>
      </rPr>
      <t>，</t>
    </r>
    <r>
      <rPr>
        <sz val="9"/>
        <color rgb="FF000000"/>
        <rFont val="Arial"/>
        <family val="2"/>
      </rPr>
      <t>platform function is OK</t>
    </r>
  </si>
  <si>
    <t>Summary（概要）
在Wifi hotspot场景下执行「reboot with hotspot」，验证：After restart，platform function is OK
Preconditions（前置条件/环境准备）
1. 平台已正常启动并进入系统
2. WiFi 模块已初始化
Steps（操作步骤）
Step 1：Reboot the platform when the platform open hotspot
目的：完成「reboot with hotspot」测试操作
对应函数：step_reboot_device(...)
Checks（检查点）
Check 1：After restart，platform function is OK
检查内容：After restart，platform function is OK
对应函数：check_after_restart_platform_funct(...)</t>
  </si>
  <si>
    <t>[{"kind": "step", "function_name": "step_reboot_device", "description": "reboot with hotspot：Reboot the platform when the platform open hotspot", "category": "wifi", "tags": ["kind:step", "domain:wifi"], "params": {}, "pre_conditions": [], "post_conditions": []}, {"kind": "check", "function_name": "check_after_restart_platform_funct", "description": "验证reboot with hotspot：After restart，platform function is OK", "category": "wifi", "tags": ["kind:check", "domain:wifi"], "params": {}, "pre_conditions": [{"id": "step_reboot_device", "type": "step", "reason": "需先完成测试步骤"}], "post_conditions": []}]</t>
  </si>
  <si>
    <t>Wifi_Func_094</t>
  </si>
  <si>
    <t>quick set up</t>
  </si>
  <si>
    <t>quick set up ap from boot wizard</t>
  </si>
  <si>
    <t>1.DUT upgrate or factory reset and boot up at boot wizard interface
2.Android 12 mobile phone connect with an VPN AP  then scan the QR code on DUT</t>
  </si>
  <si>
    <t>DUT can connect with AP  and logo in account success</t>
  </si>
  <si>
    <t>Summary（概要）
在quick set up场景下执行「quick set up ap from boot wizard」，验证：DUT can connect with AP and logo in account succe
Preconditions（前置条件/环境准备）
1. 平台已正常启动并进入系统
2. WiFi 模块已初始化
Steps（操作步骤）
Step 1：DUT upgrate or factory reset and boot up at boot wizard interface
目的：完成「quick set up ap from boot wizard」测试操作
对应函数：step_dut_upgrate_or_factory_reset(...)
Step 2：Android 12 mobile phone connect with an VPN AP then scan the QR code on DUT
目的：完成「quick set up ap from boot wizard」测试操作
对应函数：step_connect_wifi(...)
Checks（检查点）
Check 1：DUT can connect with AP and logo in account success
检查内容：DUT can connect with AP and logo in account success
对应函数：check_wifi_connected(...)</t>
  </si>
  <si>
    <t>[{"kind": "step", "function_name": "step_dut_upgrate_or_factory_reset", "description": "quick set up ap from boot wizard：DUT upgrate or factory reset and boot up at boot wizard inte", "category": "wifi", "tags": ["kind:step", "domain:wifi"], "params": {}, "pre_conditions": [], "post_conditions": []}, {"kind": "step", "function_name": "step_connect_wifi", "description": "quick set up ap from boot wizard：Android 12 mobile phone connect with an VPN AP then scan th",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[{"id": "step_dut_upgrate_or_factory_reset", "type": "step", "reason": "前置步骤必须先完成"}], "post_conditions": []}, {"kind": "check", "function_name": "check_wifi_connected", "description": "验证quick set up ap from boot wizard：DUT can connect with AP and logo in account success", "category": "wifi", "tags": ["kind:check", "domain:wifi"], "params": {"expected_ssid": {"name": "expected_ssid", "type": "str", "required": false, "default": null, "description": "预期已连接的SSID"}}, "pre_conditions": [{"id": "step_connect_wifi", "type": "step", "reason": "需先完成测试步骤"}], "post_conditions": []}]</t>
  </si>
  <si>
    <t>Wifi_Func_095</t>
  </si>
  <si>
    <t>WOW</t>
  </si>
  <si>
    <t>1.DUT burn 0x43 key and Widevine key
2.WOW suspend the DUT</t>
  </si>
  <si>
    <t>1.DUT connect with AP and enter deep sleep
2.Mobile phone connect the same AP
3.Mobile phone open YouTube ,click the cast</t>
  </si>
  <si>
    <t>DUT can resume and open YouTube APP</t>
  </si>
  <si>
    <t>Summary（概要）
在WOW场景下执行「1.DUT burn 0x43 key and Widevine key
2.WOW suspend the DUT」，验证：DUT can resume and open YouTube APP
Preconditions（前置条件/环境准备）
1. 平台已正常启动并进入系统
2. WiFi 模块已初始化
Steps（操作步骤）
Step 1：DUT connect with AP and enter deep sleep
目的：完成「1.DUT burn 0x43 key and Widevine key
2.WOW suspend the DUT」测试操作
对应函数：step_connect_wifi(...)
Step 2：Mobile phone connect the same AP
目的：完成「1.DUT burn 0x43 key and Widevine key
2.WOW suspend the DUT」测试操作
对应函数：step_connect_wifi(...)
Step 3：Mobile phone open YouTube ,click the cast
目的：完成「1.DUT burn 0x43 key and Widevine key
2.WOW suspend the DUT」测试操作
对应函数：step_start_cast_session(...)
Checks（检查点）
Check 1：DUT can resume and open YouTube APP
检查内容：DUT can resume and open YouTube APP
对应函数：check_wow_resume_success(...)</t>
  </si>
  <si>
    <t>[{"kind": "step", "function_name": "step_connect_wifi", "description": "1.DUT burn 0x43 key and Widevine key\n2.WOW suspend the DUT：DUT connect with AP and enter deep sleep",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"step", "function_name": "step_start_cast_session", "description": "1.DUT burn 0x43 key and Widevine key\n2.WOW suspend the DUT：Mobile phone open YouTube ,click the cast", "category": "wifi", "tags": ["kind:step", "domain:wifi"], "params": {"source_device": {"name": "source_device", "type": "str", "required": false, "default": null, "description": "投屏源设备名称"}}, "pre_conditions": [{"id": "step_connect_wifi", "type": "step", "reason": "前置步骤必须先完成"}], "post_conditions": []}, {"kind": "check", "function_name": "check_wow_resume_success", "description": "验证1.DUT burn 0x43 key and Widevine key\n2.WOW suspend the DUT：DUT can resume and open YouTube APP", "category": "wifi", "tags": ["kind:check", "domain:wifi"], "params": {}, "pre_conditions": [{"id": "step_start_cast_session", "type": "step", "reason": "需先完成测试步骤"}], "post_conditions": []}]</t>
  </si>
  <si>
    <t>Wifi_Func_096</t>
  </si>
  <si>
    <t>cast</t>
  </si>
  <si>
    <t>YouTube case</t>
  </si>
  <si>
    <t>1.DUT connect with AP 
2.Mobile phone connect with the same AP and open YouTube ,click the cast icon on to cast to the DUT</t>
  </si>
  <si>
    <t>Mobile phone can cast to the DUT</t>
  </si>
  <si>
    <t>Summary（概要）
在cast场景下执行「YouTube case」，验证：Mobile phone can cast to the DUT
Preconditions（前置条件/环境准备）
1. 平台已正常启动并进入系统
2. WiFi 模块已初始化
Steps（操作步骤）
Step 1：DUT connect with AP
目的：完成「YouTube case」测试操作
对应函数：step_connect_wifi(...)
Step 2：Mobile phone connect with the same AP and open YouTube ,click the cast icon on to cast to the DUT
目的：完成「YouTube case」测试操作
对应函数：step_connect_wifi(...)
Checks（检查点）
Check 1：Mobile phone can cast to the DUT
检查内容：Mobile phone can cast to the DUT
对应函数：check_cast_to_device_success(...)</t>
  </si>
  <si>
    <t>[{"kind": "step", "function_name": "step_connect_wifi", "description": "YouTube case：DUT connect with AP",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"check", "function_name": "check_cast_to_device_success", "description": "验证YouTube case：Mobile phone can cast to the DUT", "category": "wifi", "tags": ["kind:check", "domain:wifi"], "params": {}, "pre_conditions": [{"id": "step_connect_wifi", "type": "step", "reason": "需先完成测试步骤"}], "post_conditions": []}]</t>
  </si>
  <si>
    <t>Wifi_Func_097</t>
  </si>
  <si>
    <t>DLNA</t>
  </si>
  <si>
    <t>WiFi DLNA</t>
  </si>
  <si>
    <t>Build DLNA service through PC</t>
  </si>
  <si>
    <t>The platform can play video smoothly</t>
  </si>
  <si>
    <t>如何自动化部署 DLNA service</t>
  </si>
  <si>
    <t>Summary（概要）
在DLNA场景下执行「WiFi DLNA」，验证：The platform can play video smoothly
Preconditions（前置条件/环境准备）
1. 平台已正常启动并进入系统
2. WiFi 模块已初始化
Steps（操作步骤）
Step 1：Build DLNA service through PC
目的：完成「WiFi DLNA」测试操作
对应函数：step_setup_dlna_server(...)
Checks（检查点）
Check 1：The platform can play video smoothly
检查内容：The platform can play video smoothly
对应函数：check_dlna_video_normal(...)</t>
  </si>
  <si>
    <t>[{"kind": "step", "function_name": "step_setup_dlna_server", "description": "WiFi DLNA：Build DLNA service through PC", "category": "wifi", "tags": ["kind:step", "domain:wifi"], "params": {"server_ip": {"name": "server_ip", "type": "str", "required": true, "default": null, "description": "DLNA服务器IP地址"}}, "pre_conditions": [], "post_conditions": []}, {"kind": "check", "function_name": "check_dlna_video_normal", "description": "验证WiFi DLNA：The platform can play video smoothly", "category": "wifi", "tags": ["kind:check", "domain:wifi"], "params": {}, "pre_conditions": [{"id": "step_setup_dlna_server", "type": "step", "reason": "需先完成测试步骤"}], "post_conditions": []}]</t>
  </si>
  <si>
    <t>Wifi_Func_098</t>
  </si>
  <si>
    <t>Cast</t>
  </si>
  <si>
    <t>WIFI miracast</t>
  </si>
  <si>
    <t>1.Phone connect with DUT by MIracast
2.Phone playback video online for 10mins</t>
  </si>
  <si>
    <t>1.DUT can display phone interface
2.DUT display The video playback normal and smoothly</t>
  </si>
  <si>
    <t>Summary（概要）
在Cast场景下执行「WIFI miracast」，验证：DUT can display phone interface；DUT display The video playback normal and smoothly
Preconditions（前置条件/环境准备）
1. 平台已正常启动并进入系统
2. WiFi 模块已初始化
Steps（操作步骤）
Step 1：Phone connect with DUT by MIracast
目的：完成「WIFI miracast」测试操作
对应函数：step_start_cast_session(...)
Step 2：Phone playback video online for 10mins
目的：完成「WIFI miracast」测试操作
对应函数：step_phone_playback_video_online(...)
Checks（检查点）
Check 1：DUT can display phone interface
检查内容：DUT can display phone interface
对应函数：check_cast_display_normal(...)
Check 2：DUT display The video playback normal and smoothly
检查内容：DUT display The video playback normal and smoothly
对应函数：check_network_accessible(...)</t>
  </si>
  <si>
    <t>[{"kind": "step", "function_name": "step_start_cast_session", "description": "WIFI miracast：Phone connect with DUT by MIracast", "category": "wifi", "tags": ["kind:step", "domain:wifi"], "params": {"source_device": {"name": "source_device", "type": "str", "required": false, "default": null, "description": "投屏源设备名称"}}, "pre_conditions": [], "post_conditions": []}, {"kind": "step", "function_name": "step_phone_playback_video_online", "description": "WIFI miracast：Phone playback video online for 10mins", "category": "wifi", "tags": ["kind:step", "domain:wifi"], "params": {}, "pre_conditions": [{"id": "step_start_cast_session", "type": "step", "reason": "前置步骤必须先完成"}], "post_conditions": []}, {"kind": "check", "function_name": "check_cast_display_normal", "description": "验证WIFI miracast：DUT can display phone interface", "category": "wifi", "tags": ["kind:check", "domain:wifi"], "params": {}, "pre_conditions": [{"id": "step_phone_playback_video_online", "type": "step", "reason": "需先完成测试步骤"}], "post_conditions": []}, {"kind": "check", "function_name": "check_network_accessible", "description": "验证WIFI miracast：DUT display The video playback normal and smoothly", "category": "wifi", "tags": ["kind:check", "domain:wifi"], "params": {}, "pre_conditions": [{"id": "step_phone_playback_video_online", "type": "step", "reason": "需先完成测试步骤"}], "post_conditions": []}]</t>
  </si>
  <si>
    <t>Wifi_Func_099</t>
  </si>
  <si>
    <t>Play video online</t>
  </si>
  <si>
    <t>iYiqi or youtube online play video</t>
  </si>
  <si>
    <t>1.Box WiFi connection has an external network ap
2.Install iQiYi.apk on platform, and open to play or open youtube app to play</t>
  </si>
  <si>
    <t>Online video screen and sound play normally, can be seek, pause / play, etc.</t>
  </si>
  <si>
    <t>Summary（概要）
在Play video online场景下执行「iYiqi or youtube online play video」，验证：Online video screen and sound play normally, can b
Preconditions（前置条件/环境准备）
1. 平台已正常启动并进入系统
2. WiFi 模块已初始化
Steps（操作步骤）
Step 1：Box WiFi connection has an external network ap
目的：完成「iYiqi or youtube online play video」测试操作
对应函数：step_toggle_wifi(...)
Step 2：Install iQiYi.apk on platform, and open to play or open youtube app to play
目的：完成「iYiqi or youtube online play video」测试操作
对应函数：step_access_network_or_play_video(...)
Checks（检查点）
Check 1：Online video screen and sound play normally, can be seek, pause / play, etc.
检查内容：Online video screen and sound play normally, can be seek, pause / play, etc.
对应函数：check_network_accessible(...)</t>
  </si>
  <si>
    <t>[{"kind": "step", "function_name": "step_toggle_wifi", "description": "iYiqi or youtube online play video：Box WiFi connection has an external network ap", "category": "wifi", "tags": ["kind:step", "domain:wifi"], "params": {"enabled": {"name": "enabled", "type": "bool", "required": true, "default": true, "description": "True=开启WiFi"}}, "pre_conditions": [], "post_conditions": []}, {"kind": "step", "function_name": "step_access_network_or_play_video", "description": "iYiqi or youtube online play video：Install iQiYi.apk on platform, and open to play or open yout", "category": "wifi", "tags": ["kind:step", "domain:wifi"], "params": {"target": {"name": "target", "type": "str", "required": false, "default": null, "description": "访问目标或视频平台名称"}}, "pre_conditions": [{"id": "step_toggle_wifi", "type": "step", "reason": "前置步骤必须先完成"}], "post_conditions": []}, {"kind": "check", "function_name": "check_network_accessible", "description": "验证iYiqi or youtube online play video：Online video screen and sound play normally, can be seek, pa", "category": "wifi", "tags": ["kind:check", "domain:wifi"], "params": {}, "pre_conditions": [{"id": "step_access_network_or_play_video", "type": "step", "reason": "需先完成测试步骤"}], "post_conditions": []}]</t>
  </si>
  <si>
    <t>Wifi_Func_100</t>
  </si>
  <si>
    <t>wall</t>
  </si>
  <si>
    <t>Check the AP connection through a wall</t>
  </si>
  <si>
    <t>1.DUT connect an AP
2.Prevent the connected router from being behind a wall
3.Check the AP connection</t>
  </si>
  <si>
    <t>The AP connect success and playback video online normal</t>
  </si>
  <si>
    <t>穿墙测试，需人为摆放</t>
  </si>
  <si>
    <t>Summary（概要）
在wall场景下执行「Check the AP connection through a wall」，验证：The AP connect success and playback video online n
Preconditions（前置条件/环境准备）
1. 平台已正常启动并进入系统
2. WiFi 模块已初始化
Steps（操作步骤）
Step 1：DUT connect an AP
目的：完成「Check the AP connection through a wall」测试操作
对应函数：step_connect_wifi(...)
Step 2：Prevent the connected router from being behind a wall
目的：完成「Check the AP connection through a wall」测试操作
对应函数：step_place_router_behind_wall(...)
Step 3：Check the AP connection
目的：完成「Check the AP connection through a wall」测试操作
对应函数：step_check_the_ap_connection(...)
Checks（检查点）
Check 1：The AP connect success and playback video online normal
检查内容：The AP connect success and playback video online normal
对应函数：check_wifi_connected(...)</t>
  </si>
  <si>
    <t>[{"kind": "step", "function_name": "step_connect_wifi", "description": "Check the AP connection through a wall：DUT connect an AP",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 "post_conditions": []}, {"kind": "step", "function_name": "step_place_router_behind_wall", "description": "Check the AP connection through a wall：Prevent the connected router from being behind a wall", "category": "wifi", "tags": ["kind:step", "domain:wifi"], "params": {}, "pre_conditions": [{"id": "step_connect_wifi", "type": "step", "reason": "前置步骤必须先完成"}], "post_conditions": []}, {"kind": "step", "function_name": "step_check_the_ap_connection", "description": "Check the AP connection through a wall：Check the AP connection", "category": "wifi", "tags": ["kind:step", "domain:wifi"], "params": {}, "pre_conditions": [{"id": "step_place_router_behind_wall", "type": "step", "reason": "前置步骤必须先完成"}], "post_conditions": []}, {"kind": "check", "function_name": "check_wifi_connected", "description": "验证Check the AP connection through a wall：The AP connect success and playback video online normal", "category": "wifi", "tags": ["kind:check", "domain:wifi"], "params": {"expected_ssid": {"name": "expected_ssid", "type": "str", "required": false, "default": null, "description": "预期已连接的SSID"}}, "pre_conditions": [{"id": "step_check_the_ap_connection", "type": "step", "reason": "需先完成测试步骤"}], "post_conditions": []}]</t>
  </si>
  <si>
    <t>Wifi_Func_101</t>
  </si>
  <si>
    <t>WiFi PPPoE</t>
  </si>
  <si>
    <t>Enter the wrong account password</t>
  </si>
  <si>
    <t>1.Select WiFi PPPoE in the advanced settings interface
2.Enter the wrong account or password to dial</t>
  </si>
  <si>
    <t>Enter the wrong account or password prompt error message</t>
  </si>
  <si>
    <t>拨号上网的实现方式</t>
  </si>
  <si>
    <t>Summary（概要）
在WiFi PPPoE场景下执行「Enter the wrong account password」，验证：Enter the wrong account or password prompt error m
Preconditions（前置条件/环境准备）
1. 平台已正常启动并进入系统
2. WiFi 模块已初始化
Steps（操作步骤）
Step 1：Select WiFi PPPoE in the advanced settings interface
目的：完成「Enter the wrong account password」测试操作
对应函数：step_open_wifi_settings(...)
Step 2：Enter the wrong account or password to dial
目的：完成「Enter the wrong account password」测试操作
对应函数：step_connect_wifi(...)
Checks（检查点）
Check 1：Enter the wrong account or password prompt error message
检查内容：Enter the wrong account or password prompt error message
对应函数：check_wifi_connection_failed(...)</t>
  </si>
  <si>
    <t>[{"kind": "step", "function_name": "step_open_wifi_settings", "description": "Enter the wrong account password：Select WiFi PPPoE in the advanced settings interface", "category": "wifi", "tags": ["kind:step", "domain:wifi"], "params": {}, "pre_conditions": [], "post_conditions": []}, {"kind": "step", "function_name": "step_connect_wifi", "description": "Enter the wrong account password：Enter the wrong account or password to dial",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[{"id": "step_open_wifi_settings", "type": "step", "reason": "前置步骤必须先完成"}], "post_conditions": []}, {"kind": "check", "function_name": "check_wifi_connection_failed", "description": "验证Enter the wrong account password：Enter the wrong account or password prompt error message", "category": "wifi", "tags": ["kind:check", "domain:wifi"], "params": {}, "pre_conditions": [{"id": "step_connect_wifi", "type": "step", "reason": "需先完成测试步骤"}], "post_conditions": []}]</t>
  </si>
  <si>
    <t>Wifi_Func_102</t>
  </si>
  <si>
    <t>Enter the correct account password</t>
  </si>
  <si>
    <t>1.Select WiFi PPPoE in the advanced settings interface
2.Enter the correct account and password to dial</t>
  </si>
  <si>
    <t>Enter the correct account password to dial successfully</t>
  </si>
  <si>
    <t>Summary（概要）
在WiFi PPPoE场景下执行「Enter the correct account password」，验证：Enter the correct account password to dial success
Preconditions（前置条件/环境准备）
1. 平台已正常启动并进入系统
2. WiFi 模块已初始化
Steps（操作步骤）
Step 1：Select WiFi PPPoE in the advanced settings interface
目的：完成「Enter the correct account password」测试操作
对应函数：step_open_wifi_settings(...)
Step 2：Enter the correct account and password to dial
目的：完成「Enter the correct account password」测试操作
对应函数：step_connect_wifi(...)
Checks（检查点）
Check 1：Enter the correct account password to dial successfully
检查内容：Enter the correct account password to dial successfully
对应函数：check_pppoe_connection_success(...)</t>
  </si>
  <si>
    <t>[{"kind": "step", "function_name": "step_open_wifi_settings", "description": "Enter the correct account password：Select WiFi PPPoE in the advanced settings interface", "category": "wifi", "tags": ["kind:step", "domain:wifi"], "params": {}, "pre_conditions": [], "post_conditions": []}, {"kind": "step", "function_name": "step_connect_wifi", "description": "Enter the correct account password：Enter the correct account and password to dial", "category": "wifi", "tags": ["kind:step", "domain:wifi"], "params": {"ssid": {"name": "ssid", "type": "str", "required": true, "default": null, "description": "目标AP的SSID"}, "password": {"name": "password", "type": "str", "required": false, "default": null, "description": "WiFi密码，开放网络可为空"}, "auth_type": {"name": "auth_type", "type": "str", "required": false, "default": null, "description": "认证类型如 WPA2/WPA3/Open/WEP"}}, "pre_conditions": [{"id": "step_open_wifi_settings", "type": "step", "reason": "前置步骤必须先完成"}], "post_conditions": []}, {"kind": "check", "function_name": "check_pppoe_connection_success", "description": "验证Enter the correct account password：Enter the correct account password to dial successfully", "category": "wifi", "tags": ["kind:check", "domain:wifi"], "params": {}, "pre_conditions": [{"id": "step_connect_wifi", "type": "step", "reason": "需先完成测试步骤"}], "post_conditions": []}]</t>
  </si>
  <si>
    <t>Wifi_Func_103</t>
  </si>
  <si>
    <t>Restart connection</t>
  </si>
  <si>
    <t>1.WiFi PPPoE connection succeeded
2.Power off and restart the box, check if the box WiFi pppoe automatically back</t>
  </si>
  <si>
    <t>After the wifi PPPoE connection is successfully connected, it can be automatically dialed successfully.</t>
  </si>
  <si>
    <t>Summary（概要）
在WiFi PPPoE场景下执行「Restart connection」，验证：After the wifi PPPoE connection is successfully co
Preconditions（前置条件/环境准备）
1. 平台已正常启动并进入系统
2. WiFi 模块已初始化
Steps（操作步骤）
Step 1：WiFi PPPoE connection succeeded
目的：完成「Restart connection」测试操作
对应函数：step_toggle_wifi(...)
Step 2：Power off and restart the box, check if the box WiFi pppoe automatically back
目的：完成「Restart connection」测试操作
对应函数：step_reboot_device(...)
Checks（检查点）
Check 1：After the wifi PPPoE connection is successfully connected, it can be automatical
检查内容：After the wifi PPPoE connection is successfully connected, it can be automatically dialed successfully.
对应函数：check_wifi_connected(...)</t>
  </si>
  <si>
    <t>[{"kind": "step", "function_name": "step_toggle_wifi", "description": "Restart connection：WiFi PPPoE connection succeeded", "category": "wifi", "tags": ["kind:step", "domain:wifi"], "params": {"enabled": {"name": "enabled", "type": "bool", "required": true, "default": true, "description": "True=开启WiFi"}}, "pre_conditions": [], "post_conditions": []}, {"kind": "step", "function_name": "step_reboot_device", "description": "Restart connection：Power off and restart the box, check if the box WiFi pppoe a", "category": "wifi", "tags": ["kind:step", "domain:wifi"], "params": {}, "pre_conditions": [{"id": "step_toggle_wifi", "type": "step", "reason": "前置步骤必须先完成"}], "post_conditions": []}, {"kind": "check", "function_name": "check_wifi_connected", "description": "验证Restart connection：After the wifi PPPoE connection is successfully connected, i", "category": "wifi", "tags": ["kind:check", "domain:wifi"], "params": {"expected_ssid": {"name": "expected_ssid", "type": "str", "required": false, "default": null, "description": "预期已连接的SSID"}}, "pre_conditions": [{"id": "step_reboot_device", "type": "step", "reason": "需先完成测试步骤"}], "post_conditions": []}]</t>
  </si>
  <si>
    <t>Wifi_Func_104</t>
  </si>
  <si>
    <t>Restart connection (AP1 dialing)</t>
  </si>
  <si>
    <t>1.WiFi PPPoE connection succeeded
2.Power off the AP1 and check if the WiFi pppoe is automatically connected.</t>
  </si>
  <si>
    <t>Summary（概要）
在WiFi PPPoE场景下执行「Restart connection (AP1 dialing)」，验证：After the wifi PPPoE connection is successfully co
Preconditions（前置条件/环境准备）
1. 平台已正常启动并进入系统
2. WiFi 模块已初始化
Steps（操作步骤）
Step 1：WiFi PPPoE connection succeeded
目的：完成「Restart connection (AP1 dialing)」测试操作
对应函数：step_toggle_wifi(...)
Step 2：Power off the AP1 and check if the WiFi pppoe is automatically connected.
目的：完成「Restart connection (AP1 dialing)」测试操作
对应函数：step_toggle_wifi(...)
Checks（检查点）
Check 1：After the wifi PPPoE connection is successfully connected, it can be automatical
检查内容：After the wifi PPPoE connection is successfully connected, it can be automatically dialed successfully.
对应函数：check_wifi_connected(...)</t>
  </si>
  <si>
    <t>[{"kind": "step", "function_name": "step_toggle_wifi", "description": "Restart connection (AP1 dialing)：WiFi PPPoE connection succeeded", "category": "wifi", "tags": ["kind:step", "domain:wifi"], "params": {"enabled": {"name": "enabled", "type": "bool", "required": true, "default": true, "description": "True=开启WiFi"}}, "pre_conditions": [], "post_conditions": []}, {"kind": "check", "function_name": "check_wifi_connected", "description": "验证Restart connection (AP1 dialing)：After the wifi PPPoE connection is successfully connected, i", "category": "wifi", "tags": ["kind:check", "domain:wifi"], "params": {"expected_ssid": {"name": "expected_ssid", "type": "str", "required": false, "default": null, "description": "预期已连接的SSID"}}, "pre_conditions": [{"id": "step_toggle_wifi", "type": "step", "reason": "需先完成测试步骤"}], "post_conditions": []}]</t>
  </si>
  <si>
    <t>Wifi_Func_105</t>
  </si>
  <si>
    <t>The box wakes up and checks whether the box WiFi pppoe is automatically connected.</t>
  </si>
  <si>
    <t>Summary（概要）
在WiFi PPPoE场景下执行「Standby wake up reconnect」，验证：The box wakes up and checks whether the box WiFi p
Preconditions（前置条件/环境准备）
1. 平台已正常启动并进入系统
2. WiFi 模块已初始化
Steps（操作步骤）
Step 1：WiFi PPPoE connection succeeded
目的：完成「Standby wake up reconnect」测试操作
对应函数：step_toggle_wifi(...)
Step 2：Power off the AP1 and check if the WiFi pppoe is automatically connected.
目的：完成「Standby wake up reconnect」测试操作
对应函数：step_toggle_wifi(...)
Checks（检查点）
Check 1：The box wakes up and checks whether the box WiFi pppoe is automatically connecte
检查内容：The box wakes up and checks whether the box WiFi pppoe is automatically connected.
对应函数：check_wifi_state(...)</t>
  </si>
  <si>
    <t>[{"kind": "step", "function_name": "step_toggle_wifi", "description": "Standby wake up reconnect：WiFi PPPoE connection succeeded", "category": "wifi", "tags": ["kind:step", "domain:wifi"], "params": {"enabled": {"name": "enabled", "type": "bool", "required": true, "default": true, "description": "True=开启WiFi"}}, "pre_conditions": [], "post_conditions": []}, {"kind": "check", "function_name": "check_wifi_state", "description": "验证Standby wake up reconnect：The box wakes up and checks whether the box WiFi pppoe is au", "category": "wifi", "tags": ["kind:check", "domain:wifi"], "params": {"expected": {"name": "expected", "type": "bool", "required": true, "default": true, "description": "True=WiFi应开启"}}, "pre_conditions": [{"id": "step_toggle_wifi", "type": "step", "reason": "需先完成测试步骤"}], "post_conditions": []}]</t>
  </si>
  <si>
    <t>Wifi_Func_106</t>
  </si>
  <si>
    <t>IPTV</t>
  </si>
  <si>
    <t>Play online live HD channel</t>
  </si>
  <si>
    <t>1.Box WiFi connection has an external network ap
2.The box has already burned the Chinese mobile mac and serial number.
3.Play online live HD channel</t>
  </si>
  <si>
    <t>Online video screen and sound play normally</t>
  </si>
  <si>
    <t>Summary（概要）
在IPTV场景下执行「Play online live HD channel」，验证：Online video screen and sound play normally
Preconditions（前置条件/环境准备）
1. 平台已正常启动并进入系统
2. WiFi 模块已初始化
Steps（操作步骤）
Step 1：Box WiFi connection has an external network ap
目的：完成「Play online live HD channel」测试操作
对应函数：step_toggle_wifi(...)
Step 2：The box has already burned the Chinese mobile mac and serial number.
目的：完成「Play online live HD channel」测试操作
对应函数：step_verify_device_provisioned(...)
Step 3：Play online live HD channel
目的：完成「Play online live HD channel」测试操作
对应函数：step_play_iptv(...)
Checks（检查点）
Check 1：Online video screen and sound play normally
检查内容：Online video screen and sound play normally
对应函数：check_network_accessible(...)</t>
  </si>
  <si>
    <t>[{"kind": "step", "function_name": "step_toggle_wifi", "description": "Play online live HD channel：Box WiFi connection has an external network ap", "category": "wifi", "tags": ["kind:step", "domain:wifi"], "params": {"enabled": {"name": "enabled", "type": "bool", "required": true, "default": true, "description": "True=开启WiFi"}}, "pre_conditions": [], "post_conditions": []}, {"kind": "step", "function_name": "step_verify_device_provisioned", "description": "Play online live HD channel：The box has already burned the Chinese mobile mac and serial", "category": "wifi", "tags": ["kind:step", "domain:wifi"], "params": {}, "pre_conditions": [{"id": "step_toggle_wifi", "type": "step", "reason": "前置步骤必须先完成"}], "post_conditions": []}, {"kind": "step", "function_name": "step_play_iptv", "description": "Play online live HD channel：Play online live HD channel", "category": "wifi", "tags": ["kind:step", "domain:wifi"], "params": {"channel_type": {"name": "channel_type", "type": "str", "required": true, "default": null, "description": "频道类型：HD/4K/标清/直播"}, "content_id": {"name": "content_id", "type": "str", "required": false, "default": null, "description": "内容ID（可选）"}}, "pre_conditions": [{"id": "step_verify_device_provisioned", "type": "step", "reason": "前置步骤必须先完成"}], "post_conditions": []}, {"kind": "check", "function_name": "check_network_accessible", "description": "验证Play online live HD channel：Online video screen and sound play normally", "category": "wifi", "tags": ["kind:check", "domain:wifi"], "params": {}, "pre_conditions": [{"id": "step_play_iptv", "type": "step", "reason": "需先完成测试步骤"}], "post_conditions": []}]</t>
  </si>
  <si>
    <t>Wifi_Func_107</t>
  </si>
  <si>
    <t>IPTV online standard broadcast live</t>
  </si>
  <si>
    <t>1.Box WiFi connection has an external network ap
2.The box has already burned the Chinese mobile mac and serial number.
3.IPTV online standard broadcast live</t>
  </si>
  <si>
    <t>Summary（概要）
在IPTV场景下执行「IPTV online standard broadcast live」，验证：Online video screen and sound play normally
Preconditions（前置条件/环境准备）
1. 平台已正常启动并进入系统
2. WiFi 模块已初始化
Steps（操作步骤）
Step 1：Box WiFi connection has an external network ap
目的：完成「IPTV online standard broadcast live」测试操作
对应函数：step_toggle_wifi(...)
Step 2：The box has already burned the Chinese mobile mac and serial number.
目的：完成「IPTV online standard broadcast live」测试操作
对应函数：step_verify_device_provisioned(...)
Step 3：IPTV online standard broadcast live
目的：完成「IPTV online standard broadcast live」测试操作
对应函数：step_iptv_online_standard_broadca(...)
Checks（检查点）
Check 1：Online video screen and sound play normally
检查内容：Online video screen and sound play normally
对应函数：check_network_accessible(...)</t>
  </si>
  <si>
    <t>[{"kind": "step", "function_name": "step_toggle_wifi", "description": "IPTV online standard broadcast live：Box WiFi connection has an external network ap", "category": "wifi", "tags": ["kind:step", "domain:wifi"], "params": {"enabled": {"name": "enabled", "type": "bool", "required": true, "default": true, "description": "True=开启WiFi"}}, "pre_conditions": [], "post_conditions": []}, {"kind": "step", "function_name": "step_verify_device_provisioned", "description": "IPTV online standard broadcast live：The box has already burned the Chinese mobile mac and serial", "category": "wifi", "tags": ["kind:step", "domain:wifi"], "params": {}, "pre_conditions": [{"id": "step_toggle_wifi", "type": "step", "reason": "前置步骤必须先完成"}], "post_conditions": []}, {"kind": "step", "function_name": "step_iptv_online_standard_broadca", "description": "IPTV online standard broadcast live：IPTV online standard broadcast live", "category": "wifi", "tags": ["kind:step", "domain:wifi"], "params": {}, "pre_conditions": [{"id": "step_verify_device_provisioned", "type": "step", "reason": "前置步骤必须先完成"}], "post_conditions": []}, {"kind": "check", "function_name": "check_network_accessible", "description": "验证IPTV online standard broadcast live：Online video screen and sound play normally", "category": "wifi", "tags": ["kind:check", "domain:wifi"], "params": {}, "pre_conditions": [{"id": "step_iptv_online_standard_broadca", "type": "step", "reason": "需先完成测试步骤"}], "post_conditions": []}]</t>
  </si>
  <si>
    <t>Wifi_Func_108</t>
  </si>
  <si>
    <t>IPTV online 4K on demand</t>
  </si>
  <si>
    <t>1.Box WiFi connection has an external network ap
2.The box has already burned the Chinese mobile mac and serial number.
3.IPTV online 4K on demand</t>
  </si>
  <si>
    <t>Summary（概要）
在IPTV场景下执行「IPTV online 4K on demand」，验证：Online video screen and sound play normally, can b
Preconditions（前置条件/环境准备）
1. 平台已正常启动并进入系统
2. WiFi 模块已初始化
Steps（操作步骤）
Step 1：Box WiFi connection has an external network ap
目的：完成「IPTV online 4K on demand」测试操作
对应函数：step_toggle_wifi(...)
Step 2：The box has already burned the Chinese mobile mac and serial number.
目的：完成「IPTV online 4K on demand」测试操作
对应函数：step_verify_device_provisioned(...)
Step 3：IPTV online 4K on demand
目的：完成「IPTV online 4K on demand」测试操作
对应函数：step_play_iptv(...)
Checks（检查点）
Check 1：Online video screen and sound play normally, can be seek, pause / play, etc.
检查内容：Online video screen and sound play normally, can be seek, pause / play, etc.
对应函数：check_network_accessible(...)</t>
  </si>
  <si>
    <t>[{"kind": "step", "function_name": "step_toggle_wifi", "description": "IPTV online 4K on demand：Box WiFi connection has an external network ap", "category": "wifi", "tags": ["kind:step", "domain:wifi"], "params": {"enabled": {"name": "enabled", "type": "bool", "required": true, "default": true, "description": "True=开启WiFi"}}, "pre_conditions": [], "post_conditions": []}, {"kind": "step", "function_name": "step_verify_device_provisioned", "description": "IPTV online 4K on demand：The box has already burned the Chinese mobile mac and serial", "category": "wifi", "tags": ["kind:step", "domain:wifi"], "params": {}, "pre_conditions": [{"id": "step_toggle_wifi", "type": "step", "reason": "前置步骤必须先完成"}], "post_conditions": []}, {"kind": "step", "function_name": "step_play_iptv", "description": "IPTV online 4K on demand：IPTV online 4K on demand", "category": "wifi", "tags": ["kind:step", "domain:wifi"], "params": {"channel_type": {"name": "channel_type", "type": "str", "required": true, "default": null, "description": "频道类型：HD/4K/标清/直播"}, "content_id": {"name": "content_id", "type": "str", "required": false, "default": null, "description": "内容ID（可选）"}}, "pre_conditions": [{"id": "step_verify_device_provisioned", "type": "step", "reason": "前置步骤必须先完成"}], "post_conditions": []}, {"kind": "check", "function_name": "check_network_accessible", "description": "验证IPTV online 4K on demand：Online video screen and sound play normally, can be seek, pa", "category": "wifi", "tags": ["kind:check", "domain:wifi"], "params": {}, "pre_conditions": [{"id": "step_play_iptv", "type": "step", "reason": "需先完成测试步骤"}], "post_conditions": []}]</t>
  </si>
  <si>
    <t>Wifi_Func_109</t>
  </si>
  <si>
    <t>IPTV online HD on demand</t>
  </si>
  <si>
    <t>1.Box WiFi connection has an external network ap
2.The box has already burned the Chinese mobile mac and serial number.
3.IPTV online HD on demand</t>
  </si>
  <si>
    <t>Summary（概要）
在IPTV场景下执行「IPTV online HD on demand」，验证：Online video screen and sound play normally, can b
Preconditions（前置条件/环境准备）
1. 平台已正常启动并进入系统
2. WiFi 模块已初始化
Steps（操作步骤）
Step 1：Box WiFi connection has an external network ap
目的：完成「IPTV online HD on demand」测试操作
对应函数：step_toggle_wifi(...)
Step 2：The box has already burned the Chinese mobile mac and serial number.
目的：完成「IPTV online HD on demand」测试操作
对应函数：step_verify_device_provisioned(...)
Step 3：IPTV online HD on demand
目的：完成「IPTV online HD on demand」测试操作
对应函数：step_play_iptv(...)
Checks（检查点）
Check 1：Online video screen and sound play normally, can be seek, pause / play, etc.
检查内容：Online video screen and sound play normally, can be seek, pause / play, etc.
对应函数：check_network_accessible(...)</t>
  </si>
  <si>
    <t>[{"kind": "step", "function_name": "step_toggle_wifi", "description": "IPTV online HD on demand：Box WiFi connection has an external network ap", "category": "wifi", "tags": ["kind:step", "domain:wifi"], "params": {"enabled": {"name": "enabled", "type": "bool", "required": true, "default": true, "description": "True=开启WiFi"}}, "pre_conditions": [], "post_conditions": []}, {"kind": "step", "function_name": "step_verify_device_provisioned", "description": "IPTV online HD on demand：The box has already burned the Chinese mobile mac and serial", "category": "wifi", "tags": ["kind:step", "domain:wifi"], "params": {}, "pre_conditions": [{"id": "step_toggle_wifi", "type": "step", "reason": "前置步骤必须先完成"}], "post_conditions": []}, {"kind": "step", "function_name": "step_play_iptv", "description": "IPTV online HD on demand：IPTV online HD on demand", "category": "wifi", "tags": ["kind:step", "domain:wifi"], "params": {"channel_type": {"name": "channel_type", "type": "str", "required": true, "default": null, "description": "频道类型：HD/4K/标清/直播"}, "content_id": {"name": "content_id", "type": "str", "required": false, "default": null, "description": "内容ID（可选）"}}, "pre_conditions": [{"id": "step_verify_device_provisioned", "type": "step", "reason": "前置步骤必须先完成"}], "post_conditions": []}, {"kind": "check", "function_name": "check_network_accessible", "description": "验证IPTV online HD on demand：Online video screen and sound play normally, can be seek, pa", "category": "wifi", "tags": ["kind:check", "domain:wifi"], "params": {}, "pre_conditions": [{"id": "step_play_iptv", "type": "step", "reason": "需先完成测试步骤"}], "post_conditions": []}]</t>
  </si>
  <si>
    <t>Wifi_Func_110</t>
  </si>
  <si>
    <t>IPTV online standard definition on demand</t>
  </si>
  <si>
    <t>1.Box WiFi connection has an external network ap
2.The box has already burned the Chinese mobile mac and serial number.
3.IPTV online standard definition on demand</t>
  </si>
  <si>
    <t>Summary（概要）
在IPTV场景下执行「IPTV online standard definition on demand」，验证：Online video screen and sound play normally, can b
Preconditions（前置条件/环境准备）
1. 平台已正常启动并进入系统
2. WiFi 模块已初始化
Steps（操作步骤）
Step 1：Box WiFi connection has an external network ap
目的：完成「IPTV online standard definition on demand」测试操作
对应函数：step_toggle_wifi(...)
Step 2：The box has already burned the Chinese mobile mac and serial number.
目的：完成「IPTV online standard definition on demand」测试操作
对应函数：step_verify_device_provisioned(...)
Step 3：IPTV online standard definition on demand
目的：完成「IPTV online standard definition on demand」测试操作
对应函数：step_play_iptv(...)
Checks（检查点）
Check 1：Online video screen and sound play normally, can be seek, pause / play, etc.
检查内容：Online video screen and sound play normally, can be seek, pause / play, etc.
对应函数：check_network_accessible(...)</t>
  </si>
  <si>
    <t>[{"kind": "step", "function_name": "step_toggle_wifi", "description": "IPTV online standard definition on demand：Box WiFi connection has an external network ap", "category": "wifi", "tags": ["kind:step", "domain:wifi"], "params": {"enabled": {"name": "enabled", "type": "bool", "required": true, "default": true, "description": "True=开启WiFi"}}, "pre_conditions": [], "post_conditions": []}, {"kind": "step", "function_name": "step_verify_device_provisioned", "description": "IPTV online standard definition on demand：The box has already burned the Chinese mobile mac and serial", "category": "wifi", "tags": ["kind:step", "domain:wifi"], "params": {}, "pre_conditions": [{"id": "step_toggle_wifi", "type": "step", "reason": "前置步骤必须先完成"}], "post_conditions": []}, {"kind": "step", "function_name": "step_play_iptv", "description": "IPTV online standard definition on demand：IPTV online standard definition on demand", "category": "wifi", "tags": ["kind:step", "domain:wifi"], "params": {"channel_type": {"name": "channel_type", "type": "str", "required": true, "default": null, "description": "频道类型：HD/4K/标清/直播"}, "content_id": {"name": "content_id", "type": "str", "required": false, "default": null, "description": "内容ID（可选）"}}, "pre_conditions": [{"id": "step_verify_device_provisioned", "type": "step", "reason": "前置步骤必须先完成"}], "post_conditions": []}, {"kind": "check", "function_name": "check_network_accessible", "description": "验证IPTV online standard definition on demand：Online video screen and sound play normally, can be seek, pa", "category": "wifi", "tags": ["kind:check", "domain:wifi"], "params": {}, "pre_conditions": [{"id": "step_play_iptv", "type": "step", "reason": "需先完成测试步骤"}], "post_conditions": []}]</t>
  </si>
  <si>
    <t>WiFi Compatibility Test</t>
  </si>
  <si>
    <t>Wifi_Compatibility_001</t>
  </si>
  <si>
    <t>DUT connect with different router</t>
  </si>
  <si>
    <t>1.DUT connect with ASUS_AX86U AP
2.Router change the channel and Encryption method</t>
  </si>
  <si>
    <r>
      <rPr>
        <sz val="9"/>
        <color theme="1"/>
        <rFont val="Arial"/>
        <family val="2"/>
      </rPr>
      <t>After change the channel and Encryption method</t>
    </r>
    <r>
      <rPr>
        <sz val="9"/>
        <color theme="1"/>
        <rFont val="宋体"/>
        <family val="3"/>
        <charset val="134"/>
      </rPr>
      <t>，</t>
    </r>
    <r>
      <rPr>
        <sz val="9"/>
        <color theme="1"/>
        <rFont val="Arial"/>
        <family val="2"/>
      </rPr>
      <t>Platform connect the AP successful</t>
    </r>
  </si>
  <si>
    <t>需提供路由设备</t>
  </si>
  <si>
    <t>P2</t>
  </si>
  <si>
    <t>Wifi_Compatibility_002</t>
  </si>
  <si>
    <t>1.DUT connect with ASUS_AC1900P AP
2.Router change the channel and Encryption method</t>
  </si>
  <si>
    <t>Wifi_Compatibility_003</t>
  </si>
  <si>
    <t>1.DUT connect with XiaoMI AP
2.Router change the channel and Encryption method</t>
  </si>
  <si>
    <t>Wifi_Compatibility_004</t>
  </si>
  <si>
    <t>1.DUT connect with TPlink-AX5400 AP
2.Router change the channel and Encryption method</t>
  </si>
  <si>
    <t>Wifi_Compatibility_005</t>
  </si>
  <si>
    <t>1.DUT connect with Tenda-AX30 AP
2.Router change the channel and Encryption method</t>
  </si>
  <si>
    <t>WiFi peak throughput Test</t>
  </si>
  <si>
    <r>
      <rPr>
        <sz val="9"/>
        <color rgb="FF000000"/>
        <rFont val="Arial"/>
        <family val="2"/>
      </rPr>
      <t xml:space="preserve">1. </t>
    </r>
    <r>
      <rPr>
        <sz val="9"/>
        <color rgb="FF000000"/>
        <rFont val="微软雅黑"/>
        <family val="2"/>
        <charset val="134"/>
      </rPr>
      <t>将</t>
    </r>
    <r>
      <rPr>
        <sz val="9"/>
        <color rgb="FF000000"/>
        <rFont val="Arial"/>
        <family val="2"/>
      </rPr>
      <t>iperf.exe</t>
    </r>
    <r>
      <rPr>
        <sz val="9"/>
        <color rgb="FF000000"/>
        <rFont val="微软雅黑"/>
        <family val="2"/>
        <charset val="134"/>
      </rPr>
      <t>拷贝到测试电脑，测试平台安装</t>
    </r>
    <r>
      <rPr>
        <sz val="9"/>
        <color rgb="FF000000"/>
        <rFont val="Arial"/>
        <family val="2"/>
      </rPr>
      <t>iPerf apk</t>
    </r>
    <r>
      <rPr>
        <sz val="9"/>
        <color rgb="FF000000"/>
        <rFont val="微软雅黑"/>
        <family val="2"/>
        <charset val="134"/>
      </rPr>
      <t>。然后分别输入指令，观察数据（爬坡、掉坑、平均等），并将实际测试指令与数据记录到表格</t>
    </r>
    <r>
      <rPr>
        <sz val="9"/>
        <color rgb="FF000000"/>
        <rFont val="Arial"/>
        <family val="2"/>
      </rPr>
      <t xml:space="preserve">
</t>
    </r>
    <r>
      <rPr>
        <sz val="9"/>
        <color rgb="FF000000"/>
        <rFont val="微软雅黑"/>
        <family val="2"/>
        <charset val="134"/>
      </rPr>
      <t>参考命令：</t>
    </r>
    <r>
      <rPr>
        <sz val="9"/>
        <color rgb="FF000000"/>
        <rFont val="Arial"/>
        <family val="2"/>
      </rPr>
      <t xml:space="preserve"> </t>
    </r>
    <r>
      <rPr>
        <sz val="9"/>
        <color rgb="FF000000"/>
        <rFont val="微软雅黑"/>
        <family val="2"/>
        <charset val="134"/>
      </rPr>
      <t>发送端</t>
    </r>
    <r>
      <rPr>
        <sz val="9"/>
        <color rgb="FF000000"/>
        <rFont val="Arial"/>
        <family val="2"/>
      </rPr>
      <t xml:space="preserve"> iperf -c 192.168.1.177 -i 1 -w 4M -t 60 -P 10</t>
    </r>
    <r>
      <rPr>
        <sz val="9"/>
        <color rgb="FF000000"/>
        <rFont val="微软雅黑"/>
        <family val="2"/>
        <charset val="134"/>
      </rPr>
      <t>；</t>
    </r>
    <r>
      <rPr>
        <sz val="9"/>
        <color rgb="FF000000"/>
        <rFont val="Arial"/>
        <family val="2"/>
      </rPr>
      <t xml:space="preserve"> </t>
    </r>
    <r>
      <rPr>
        <sz val="9"/>
        <color rgb="FF000000"/>
        <rFont val="微软雅黑"/>
        <family val="2"/>
        <charset val="134"/>
      </rPr>
      <t>接收端</t>
    </r>
    <r>
      <rPr>
        <sz val="9"/>
        <color rgb="FF000000"/>
        <rFont val="Arial"/>
        <family val="2"/>
      </rPr>
      <t xml:space="preserve"> iperf -i 1 -s -w 4M 
2. </t>
    </r>
    <r>
      <rPr>
        <sz val="9"/>
        <color rgb="FF000000"/>
        <rFont val="微软雅黑"/>
        <family val="2"/>
        <charset val="134"/>
      </rPr>
      <t>由于不同</t>
    </r>
    <r>
      <rPr>
        <sz val="9"/>
        <color rgb="FF000000"/>
        <rFont val="Arial"/>
        <family val="2"/>
      </rPr>
      <t>wifi</t>
    </r>
    <r>
      <rPr>
        <sz val="9"/>
        <color rgb="FF000000"/>
        <rFont val="微软雅黑"/>
        <family val="2"/>
        <charset val="134"/>
      </rPr>
      <t>环境、不同地点、不同时间段测到的结果可能有较大相差，所以做吞吐量测试时，可用日常测试比较好的样机对比测试</t>
    </r>
    <r>
      <rPr>
        <sz val="9"/>
        <color rgb="FF000000"/>
        <rFont val="Arial"/>
        <family val="2"/>
      </rPr>
      <t xml:space="preserve">
3. </t>
    </r>
    <r>
      <rPr>
        <sz val="9"/>
        <color rgb="FF000000"/>
        <rFont val="微软雅黑"/>
        <family val="2"/>
        <charset val="134"/>
      </rPr>
      <t>不同</t>
    </r>
    <r>
      <rPr>
        <sz val="9"/>
        <color rgb="FF000000"/>
        <rFont val="Arial"/>
        <family val="2"/>
      </rPr>
      <t>wifi</t>
    </r>
    <r>
      <rPr>
        <sz val="9"/>
        <color rgb="FF000000"/>
        <rFont val="微软雅黑"/>
        <family val="2"/>
        <charset val="134"/>
      </rPr>
      <t>模组</t>
    </r>
    <r>
      <rPr>
        <sz val="9"/>
        <color rgb="FF000000"/>
        <rFont val="Arial"/>
        <family val="2"/>
      </rPr>
      <t xml:space="preserve"> </t>
    </r>
    <r>
      <rPr>
        <sz val="9"/>
        <color rgb="FF000000"/>
        <rFont val="微软雅黑"/>
        <family val="2"/>
        <charset val="134"/>
      </rPr>
      <t>标准不同，需要根据实际进行填写</t>
    </r>
  </si>
  <si>
    <t>Test environment</t>
  </si>
  <si>
    <t>WiFi 
Mode</t>
  </si>
  <si>
    <t>bandwidth</t>
  </si>
  <si>
    <t>RX/TX</t>
  </si>
  <si>
    <t>AP channel</t>
  </si>
  <si>
    <t>Test 
standard</t>
  </si>
  <si>
    <t>Avg data
Mbits/s</t>
  </si>
  <si>
    <t>Test 
data1</t>
  </si>
  <si>
    <t>Test 
data2</t>
  </si>
  <si>
    <t>Test 
data3</t>
  </si>
  <si>
    <t>Iperf version&amp;command</t>
  </si>
  <si>
    <t>不可自动化原因</t>
  </si>
  <si>
    <t>Peak_thr 001</t>
  </si>
  <si>
    <t>2.4G Throughput</t>
  </si>
  <si>
    <t>SZ 6th floor Shielded room</t>
  </si>
  <si>
    <t>1.ASUS AX86U
2.connect 2.4G wifi</t>
  </si>
  <si>
    <t>11AX</t>
  </si>
  <si>
    <t>20M</t>
  </si>
  <si>
    <t>RX</t>
  </si>
  <si>
    <t>吞吐量相关，需搭建专用屏蔽房环境</t>
  </si>
  <si>
    <t>Peak_thr 002</t>
  </si>
  <si>
    <t>Peak_thr 003</t>
  </si>
  <si>
    <t>Peak_thr 004</t>
  </si>
  <si>
    <t>TX</t>
  </si>
  <si>
    <t>Peak_thr 005</t>
  </si>
  <si>
    <t>Peak_thr 006</t>
  </si>
  <si>
    <t>Peak_thr 007</t>
  </si>
  <si>
    <t>40M</t>
  </si>
  <si>
    <t>Peak_thr 008</t>
  </si>
  <si>
    <t>Peak_thr 009</t>
  </si>
  <si>
    <t>Peak_thr 010</t>
  </si>
  <si>
    <t>Peak_thr 011</t>
  </si>
  <si>
    <t>Peak_thr 012</t>
  </si>
  <si>
    <t>Peak_thr 013</t>
  </si>
  <si>
    <t>SZ 6th floor station</t>
  </si>
  <si>
    <t>Peak_thr 014</t>
  </si>
  <si>
    <t>Peak_thr 015</t>
  </si>
  <si>
    <t>Peak_thr 016</t>
  </si>
  <si>
    <t>Peak_thr 017</t>
  </si>
  <si>
    <t>Peak_thr 018</t>
  </si>
  <si>
    <t>Peak_thr 019</t>
  </si>
  <si>
    <t>2.4G and bt coexist Throughput</t>
  </si>
  <si>
    <t>1.ASUS AX86U
2.connect2.4G wifi</t>
  </si>
  <si>
    <t>Peak_thr 020</t>
  </si>
  <si>
    <t>Peak_thr 021</t>
  </si>
  <si>
    <t>Peak_thr 022</t>
  </si>
  <si>
    <t>Peak_thr 023</t>
  </si>
  <si>
    <t>Peak_thr 024</t>
  </si>
  <si>
    <t>Peak_thr 025</t>
  </si>
  <si>
    <t>5G Throughput</t>
  </si>
  <si>
    <t>1.ASUS AX86U
2.connect 5G wifi.</t>
  </si>
  <si>
    <t>80M</t>
  </si>
  <si>
    <t>Peak_thr 026</t>
  </si>
  <si>
    <t>Peak_thr 027</t>
  </si>
  <si>
    <t>Peak_thr 028</t>
  </si>
  <si>
    <t>Peak_thr 029</t>
  </si>
  <si>
    <t>Peak_thr 030</t>
  </si>
  <si>
    <t>Peak_thr 031</t>
  </si>
  <si>
    <t>Peak_thr 032</t>
  </si>
  <si>
    <t>Peak_thr 033</t>
  </si>
  <si>
    <t>Peak_thr 034</t>
  </si>
  <si>
    <t>Peak_thr 035</t>
  </si>
  <si>
    <t>Peak_thr 036</t>
  </si>
  <si>
    <t>Peak_thr 037</t>
  </si>
  <si>
    <t>Peak_thr 038</t>
  </si>
  <si>
    <t>Peak_thr 039</t>
  </si>
  <si>
    <t>Peak_thr 040</t>
  </si>
  <si>
    <t>BT Function Test</t>
  </si>
  <si>
    <t>Comment</t>
  </si>
  <si>
    <t>AUT Case Description</t>
  </si>
  <si>
    <t>BT_Func_001</t>
  </si>
  <si>
    <t>BT settings</t>
  </si>
  <si>
    <t>Turn on BT switch</t>
  </si>
  <si>
    <t>1.Enter setting--Bluetooth
2.Turn on BT switch</t>
  </si>
  <si>
    <r>
      <rPr>
        <sz val="9"/>
        <color rgb="FF000000"/>
        <rFont val="Arial"/>
        <family val="2"/>
      </rPr>
      <t>After turn on BT switch</t>
    </r>
    <r>
      <rPr>
        <sz val="9"/>
        <color rgb="FF000000"/>
        <rFont val="微软雅黑"/>
        <family val="2"/>
        <charset val="134"/>
      </rPr>
      <t>，BT can search  BT switch and pair with it</t>
    </r>
  </si>
  <si>
    <t>可以实现</t>
  </si>
  <si>
    <t>Summary（概要）
验证打开蓝牙开关后 DUT 能搜索并配对蓝牙设备，验证：1. 蓝牙开关开启成功；2. 可发现并配对附近蓝牙设备。
Preconditions（前置条件/环境准备）
1. DUT 处于正常工作状态，蓝牙功能默认关闭。
Steps（操作步骤）
Step 1：进入设置 → 蓝牙，打开蓝牙开关
目的：使能蓝牙，允许后续搜索和配对操作。
对应函数：step_enable_bluetooth()
Checks（检查点）
Check 1：蓝牙开关开启，可搜索并配对设备
检查内容：确认蓝牙状态为开启，能搜索到附近蓝牙设备。
对应函数：check_bt_bluetooth_state()</t>
  </si>
  <si>
    <t>[{"kind": "step", "function_name": "step_enable_bluetooth", "description": "进入设置蓝牙页面并打开蓝牙开关。", "category": "bt_settings", "tags": ["kind:step", "domain:bt_settings"], "params": {}, "pre_conditions": [], "post_conditions": []}, {"kind": "check", "function_name": "check_bt_bluetooth_state", "description": "验证蓝牙已开启且可搜索到周围设备。", "category": "bt_settings", "tags": ["kind:check", "domain:bt_settings"], "params": {}, "pre_conditions": [{"id": "step_enable_bluetooth", "type": "step", "reason": "先完成上一步操作"}], "post_conditions": []}]</t>
  </si>
  <si>
    <t>BT_Func_002</t>
  </si>
  <si>
    <t>Turn off BT switch</t>
  </si>
  <si>
    <t>DUT have pair with  G20 BT  remote</t>
  </si>
  <si>
    <t>1.Enter setting--Bluetooth
2.Turn off BT switch</t>
  </si>
  <si>
    <t>After tuen off  BT  switch,DUT  cannot  search  any BT  device and press  key on G20 have no effect</t>
  </si>
  <si>
    <t>Summary（概要）
验证关闭蓝牙开关后 DUT 无法搜索设备且已配对遥控器失效，验证：1. 蓝牙关闭后无法搜索设备；2. G20 遥控器按键无响应。
Preconditions（前置条件/环境准备）
1. DUT 已与 G20 BT 遥控器成功配对。
Steps（操作步骤）
Step 1：进入设置 → 蓝牙，关闭蓝牙开关
目的：关闭蓝牙功能，验证配对设备失效。
对应函数：step_disable_bluetooth()
Checks（检查点）
Check 1：蓝牙关闭后无法搜索任何设备
检查内容：确认蓝牙已关闭，设备列表为空。
对应函数：check_bt_bluetooth_state()
Check 2：G20 遥控器按键无效
检查内容：确认 BT 遥控器所有按键均无响应。
对应函数：check_bluetooth_device_connected()</t>
  </si>
  <si>
    <t>[{"kind": "step", "function_name": "step_disable_bluetooth", "description": "进入设置蓝牙页面并关闭蓝牙开关。", "category": "bt_settings", "tags": ["kind:step", "domain:bt_settings"], "params": {}, "pre_conditions": [], "post_conditions": []}, {"kind": "check", "function_name": "check_bt_bluetooth_state", "description": "验证蓝牙已关闭，无法发现任何蓝牙设备。", "category": "bt_settings", "tags": ["kind:check", "domain:bt_settings"], "params": {}, "pre_conditions": [{"id": "step_disable_bluetooth", "type": "step", "reason": "先完成上一步操作"}], "post_conditions": []}, {"kind": "check", "function_name": "check_bluetooth_device_connected", "description": "验证 BT 遥控器按键无任何响应。", "category": "bt_settings", "tags": ["kind:check", "domain:bt_settings"], "params": {}, "pre_conditions": [{"id": "step_disable_bluetooth", "type": "step", "reason": "先完成上一步操作"}], "post_conditions": []}]</t>
  </si>
  <si>
    <t>BT_Func_003</t>
  </si>
  <si>
    <t>Turn off BT switch and  then turn on</t>
  </si>
  <si>
    <t>DUT have pair with  G20 BT  remote and  BT speaker</t>
  </si>
  <si>
    <t>1.Enter setting--Bluetooth
2.Turn off BT switch
3.Turn on BT  switch</t>
  </si>
  <si>
    <t>1.After step 2，DUT  cannot  search  any BT  device and press  key on G20 have no effect and  BT  speaker  auto disconnect
2.After step 3，DUT  can  search  any BT  device and press  key on G20,BT  remote  can  reconneck back and  BT  speaker  auto  reconneck back</t>
  </si>
  <si>
    <t>Summary（概要）
验证蓝牙关闭再开启后已配对设备能自动重连，验证：1. 关闭后设备断开；2. 开启后 G20 遥控器和 BT 音箱自动重连。
Preconditions（前置条件/环境准备）
1. DUT 已与 G20 BT 遥控器和 BT 音箱成功配对。
Steps（操作步骤）
Step 1：关闭蓝牙开关
目的：断开所有已配对 BT 设备。
对应函数：step_disable_bluetooth()
Step 2：重新开启蓝牙开关
目的：使能蓝牙并等待已配对设备自动重连。
对应函数：step_enable_bluetooth()
Checks（检查点）
Check 1：关闭后设备断开且遥控器无响应
检查内容：确认蓝牙关闭后 G20 按键无效、音箱断开。
对应函数：check_bt_bluetooth_state()
Check 2：开启后 G20 和 BT 音箱自动重连
检查内容：确认蓝牙重新开启后，G20 和音箱均自动恢复连接。
对应函数：check_bluetooth_device_connected()</t>
  </si>
  <si>
    <t>[{"kind": "step", "function_name": "step_disable_bluetooth", "description": "关闭蓝牙开关。", "category": "bt_settings", "tags": ["kind:step", "domain:bt_settings"], "params": {}, "pre_conditions": [], "post_conditions": []}, {"kind": "step", "function_name": "step_enable_bluetooth", "description": "重新打开蓝牙开关。", "category": "bt_settings", "tags": ["kind:step", "domain:bt_settings"], "params": {}, "pre_conditions": [{"id": "step_disable_bluetooth", "type": "step", "reason": "先关闭再开启"}], "post_conditions": []}, {"kind": "check", "function_name": "check_bluetooth_disabled", "description": "验证蓝牙关闭状态。", "category": "bt_settings", "tags": ["kind:check", "domain:bt_settings"], "params": {}, "pre_conditions": [{"id": "step_disable_bluetooth", "type": "step", "reason": "先完成上一步操作"}], "post_conditions": []}, {"kind": "check", "function_name": "check_bluetooth_device_connected", "description": "验证已配对 BT 设备在蓝牙重新开启后自动重连。", "category": "bt_settings", "tags": ["kind:check", "domain:bt_settings"], "params": {}, "pre_conditions": [{"id": "step_enable_bluetooth", "type": "step", "reason": "先完成上一步操作"}], "post_conditions": []}]</t>
  </si>
  <si>
    <t>BT_Func_004</t>
  </si>
  <si>
    <t>Advanced settings</t>
  </si>
  <si>
    <t>1.Enter setting--Bluetooth
2.Turn on BT
3.Click the advanced settings icon in the top right corner</t>
  </si>
  <si>
    <t>There should be a menu for managing connections, setting device names, and detectability.</t>
  </si>
  <si>
    <t>Summary（概要）
验证蓝牙高级设置菜单可正常打开并包含设备管理/名称/可见性等选项，验证：高级设置菜单内容完整。
Preconditions（前置条件/环境准备）
1. DUT 蓝牙已开启。
Steps（操作步骤）
Step 1：进入设置 → 蓝牙，点击右上角高级设置图标
目的：进入高级设置页面验证功能入口完整性。
对应函数：step_open_bt_advanced_settings()
Checks（检查点）
Check 1：高级设置菜单包含连接管理/设备名称/可见性选项
检查内容：确认菜单项完整显示。
对应函数：check_bt_advanced_settings_menu()</t>
  </si>
  <si>
    <t>[{"kind": "step", "function_name": "step_open_bt_advanced_settings", "description": "在蓝牙设置页面点击高级设置图标。", "category": "bt_settings", "tags": ["kind:step", "domain:bt_settings"], "params": {}, "pre_conditions": [], "post_conditions": []}, {"kind": "check", "function_name": "check_bt_advanced_settings_menu", "description": "验证高级设置菜单包含管理连接、设备名称、可见性等选项。", "category": "bt_settings", "tags": ["kind:check", "domain:bt_settings"], "params": {}, "pre_conditions": [{"id": "step_open_bt_advanced_settings", "type": "step", "reason": "先完成上一步操作"}], "post_conditions": []}]</t>
  </si>
  <si>
    <t>BT_Func_005</t>
  </si>
  <si>
    <t>View device name</t>
  </si>
  <si>
    <t>1.Enter setting--Bluetooth
2.Select device name  in the advanced menu</t>
  </si>
  <si>
    <t>The devices name show complete</t>
  </si>
  <si>
    <t>Summary（概要）
验证蓝牙高级设置中设备名称完整显示，验证：设备名称字段内容完整可见。
Preconditions（前置条件/环境准备）
1. DUT 蓝牙已开启，已进入高级设置菜单。
Steps（操作步骤）
Step 1：在高级菜单中选择设备名称项
目的：查看设备名称是否完整显示。
对应函数：step_view_bt_device_name()
Checks（检查点）
Check 1：设备名称完整显示
检查内容：确认设备名称字段内容完整无截断。
对应函数：check_bt_device_name_displayed()</t>
  </si>
  <si>
    <t>[{"kind": "step", "function_name": "step_view_bt_device_name", "description": "在蓝牙高级设置中选择并查看设备名称。", "category": "bt_settings", "tags": ["kind:step", "domain:bt_settings"], "params": {}, "pre_conditions": [], "post_conditions": []}, {"kind": "check", "function_name": "check_bt_device_name_displayed", "description": "验证设备名称完整显示，无截断或乱码。", "category": "bt_settings", "tags": ["kind:check", "domain:bt_settings"], "params": {}, "pre_conditions": [{"id": "step_view_bt_device_name", "type": "step", "reason": "先完成上一步操作"}], "post_conditions": []}]</t>
  </si>
  <si>
    <t>BT_Func_006</t>
  </si>
  <si>
    <t>Modify device name</t>
  </si>
  <si>
    <r>
      <rPr>
        <sz val="9"/>
        <color rgb="FF000000"/>
        <rFont val="Arial"/>
        <family val="2"/>
      </rPr>
      <t>1.Enter setting--Bluetooth
2.Select device name  in the advanced menu
3</t>
    </r>
    <r>
      <rPr>
        <sz val="9"/>
        <color rgb="FF000000"/>
        <rFont val="宋体"/>
        <family val="3"/>
        <charset val="134"/>
      </rPr>
      <t>、</t>
    </r>
    <r>
      <rPr>
        <sz val="9"/>
        <color rgb="FF000000"/>
        <rFont val="Arial"/>
        <family val="2"/>
      </rPr>
      <t>Modify device name</t>
    </r>
  </si>
  <si>
    <r>
      <rPr>
        <sz val="9"/>
        <color indexed="8"/>
        <rFont val="Arial"/>
        <family val="2"/>
      </rPr>
      <t>After modifing name</t>
    </r>
    <r>
      <rPr>
        <sz val="9"/>
        <color indexed="8"/>
        <rFont val="宋体"/>
        <family val="3"/>
        <charset val="134"/>
      </rPr>
      <t>，</t>
    </r>
    <r>
      <rPr>
        <sz val="9"/>
        <color indexed="8"/>
        <rFont val="Arial"/>
        <family val="2"/>
      </rPr>
      <t>the device will display the new name</t>
    </r>
  </si>
  <si>
    <t>Summary（概要）
验证在蓝牙高级设置中修改设备名称后新名称生效，验证：修改后设备以新名称对外广播。
Preconditions（前置条件/环境准备）
1. DUT 蓝牙已开启，已进入高级设置菜单。
Steps（操作步骤）
Step 1：在高级菜单中修改设备名称
目的：验证设备名称可编辑且保存后生效。
对应函数：step_modify_bt_device_name()
Checks（检查点）
Check 1：设备显示新名称
检查内容：确认修改保存后设备名称已更新为新值。
对应函数：check_bt_device_name_updated()</t>
  </si>
  <si>
    <t>[{"kind": "step", "function_name": "step_modify_bt_device_name", "description": "在蓝牙高级设置中修改并保存设备名称。", "category": "bt_settings", "tags": ["kind:step", "domain:bt_settings"], "params": {"new_name": {"name": "new_name", "type": "str", "required": true, "default": null, "description": "新设备名称"}}, "pre_conditions": [], "post_conditions": []}, {"kind": "check", "function_name": "check_bt_device_name_updated", "description": "验证设备名称已更新为指定新名称。", "category": "bt_settings", "tags": ["kind:check", "domain:bt_settings"], "params": {}, "pre_conditions": [{"id": "step_modify_bt_device_name", "type": "step", "reason": "先完成上一步操作"}], "post_conditions": []}]</t>
  </si>
  <si>
    <t>BT_Func_007</t>
  </si>
  <si>
    <t>Visibility time</t>
  </si>
  <si>
    <t>1.Enter setting--Bluetooth
2.Select device name  in the advanced menu
3.Modify the visibility time</t>
  </si>
  <si>
    <t>Other devices can detect the device name of the platform during the visibility time,out of the visibility time other devices cannot research the platform name</t>
  </si>
  <si>
    <t>不可实现</t>
  </si>
  <si>
    <t>新版本已移除此入口</t>
  </si>
  <si>
    <t>Summary（概要）
验证蓝牙可见性时间设置生效（注：新版本已移除此入口，标记为不适用），验证：在可见性时间内其他设备可搜索到本机。
Preconditions（前置条件/环境准备）
1. DUT 蓝牙已开启，已进入高级设置菜单。
2. 备注：新版本已移除可见性时间入口，此用例不适用。
Steps（操作步骤）
Step 1：修改蓝牙可见性时间
目的：设置可见性时间窗口。
对应函数：step_set_bt_visibility_time()
Step 2：用其他设备在时间窗口内/外搜索 DUT
目的：验证可见性时间边界行为。
对应函数：step_search_bt_device_from_remote()
Checks（检查点）
Check 1：可见性时间内可被发现，超时后不可被发现
检查内容：确认可见性时间机制正确执行。
对应函数：check_bt_visibility_timeout()</t>
  </si>
  <si>
    <t>[{"kind": "step", "function_name": "step_set_bt_visibility_time", "description": "设置蓝牙设备可见性时间。", "category": "bt_settings", "tags": ["kind:step", "domain:bt_settings"], "params": {"timeout_sec": {"name": "timeout_sec", "type": "int", "required": true, "default": 120, "description": "可见性持续时间（秒）"}}, "pre_conditions": [], "post_conditions": []}, {"kind": "step", "function_name": "step_search_bt_device_from_remote", "description": "从另一台设备搜索 DUT 的蓝牙名称。", "category": "bt_settings", "tags": ["kind:step", "domain:bt_settings"], "params": {}, "pre_conditions": [{"id": "step_set_bt_visibility_time", "type": "step", "reason": "先完成上一步操作"}], "post_conditions": []}, {"kind": "check", "function_name": "check_bt_visibility_timeout", "description": "验证超过可见性时间后 DUT 不再被其他设备发现。", "category": "bt_settings", "tags": ["kind:check", "domain:bt_settings"], "params": {}, "pre_conditions": [{"id": "step_search_bt_device_from_remote", "type": "step", "reason": "先完成上一步操作"}], "post_conditions": []}]</t>
  </si>
  <si>
    <t>BT_Func_008</t>
  </si>
  <si>
    <t>Pairing devices</t>
  </si>
  <si>
    <t>Click the research button</t>
  </si>
  <si>
    <t>The platform can display nearby Bluetooth devices</t>
  </si>
  <si>
    <t>Summary（概要）
验证点击搜索按钮后 DUT 能显示附近蓝牙设备列表，验证：搜索结果非空。
Preconditions（前置条件/环境准备）
1. DUT 蓝牙已开启，附近有可被发现的蓝牙设备。
Steps（操作步骤）
Step 1：在蓝牙设置页面点击搜索/刷新按钮
目的：触发蓝牙扫描流程。
对应函数：step_scan_bt_devices()
Checks（检查点）
Check 1：显示附近蓝牙设备列表
检查内容：确认扫描结果至少包含一个设备。
对应函数：check_bt_scan_results_not_empty()</t>
  </si>
  <si>
    <t>[{"kind": "step", "function_name": "step_scan_bt_devices", "description": "在蓝牙设置页面触发蓝牙扫描。", "category": "bt_settings", "tags": ["kind:step", "domain:bt_settings"], "params": {}, "pre_conditions": [], "post_conditions": []}, {"kind": "check", "function_name": "check_bt_scan_results_not_empty", "description": "验证蓝牙扫描结果列表非空。", "category": "bt_settings", "tags": ["kind:check", "domain:bt_settings"], "params": {}, "pre_conditions": [{"id": "step_scan_bt_devices", "type": "step", "reason": "先完成上一步操作"}], "post_conditions": []}]</t>
  </si>
  <si>
    <t>BT_Func_009</t>
  </si>
  <si>
    <t>Click on the searched device</t>
  </si>
  <si>
    <t>The platform initiates a Bluetooth pairing request</t>
  </si>
  <si>
    <t xml:space="preserve">Summary（概要）
验证点击已扫描到的设备后 DUT 发起蓝牙配对请求，验证：配对请求弹出。
Preconditions（前置条件/环境准备）
1. DUT 蓝牙已开启并完成扫描，扫描列表中有目标设备。
Steps（操作步骤）
Step 1：在扫描列表中点击目标蓝牙设备
目的：发起配对请求，进入配对流程。
对应函数：search_bluetooth_devices()
</t>
  </si>
  <si>
    <t>[{"kind": "step", "function_name": "step_click_bt_device_to_pair", "description": "在蓝牙设备列表中点击目标设备以发起配对。", "category": "bt_settings", "tags": ["kind:step", "domain:bt_settings"], "params": {"device_name": {"name": "device_name", "type": "str", "required": true, "default": null, "description": "目标蓝牙设备名称"}}, "pre_conditions": [], "post_conditions": []}, {"kind": "check", "function_name": "check_bt_pairing_request_popup", "description": "验证配对请求弹窗已弹出。", "category": "bt_settings", "tags": ["kind:check", "domain:bt_settings"], "params": {}, "pre_conditions": [{"id": "step_click_bt_device_to_pair", "type": "step", "reason": "先完成上一步操作"}], "post_conditions": []}]</t>
  </si>
  <si>
    <t>BT_Func_010</t>
  </si>
  <si>
    <t>Pop up the pairing prompt</t>
  </si>
  <si>
    <t>The platform can be successfully paired with the target device Bluetooth</t>
  </si>
  <si>
    <t>配对音箱实现</t>
  </si>
  <si>
    <t>Summary（概要）
验证在配对弹窗中确认后 DUT 与目标蓝牙设备配对成功，验证：配对成功且设备出现在已配对列表。
Preconditions（前置条件/环境准备）
1. 配对请求弹窗已弹出。
Checks（检查点）
Check 1：配对成功，设备出现在已配对列表
检查内容：确认目标设备配对成功并列入已配对设备。
对应函数：check_bluetooth_device_bonded()</t>
  </si>
  <si>
    <t>[{"kind": "step", "function_name": "step_confirm_bt_pairing", "description": "在蓝牙配对弹窗中点击确认完成配对。", "category": "bt_settings", "tags": ["kind:step", "domain:bt_settings"], "params": {}, "pre_conditions": [], "post_conditions": []}, {"kind": "check", "function_name": "check_bt_device_paired", "description": "验证目标蓝牙设备出现在已配对设备列表中。", "category": "bt_settings", "tags": ["kind:check", "domain:bt_settings"], "params": {}, "pre_conditions": [{"id": "step_confirm_bt_pairing", "type": "step", "reason": "先完成上一步操作"}], "post_conditions": []}]</t>
  </si>
  <si>
    <t>BT_Func_011</t>
  </si>
  <si>
    <t>No action on the pairing interface</t>
  </si>
  <si>
    <t>Waiting for a while will prompt time out</t>
  </si>
  <si>
    <t>it will prompt counld not pair</t>
  </si>
  <si>
    <t>新版本已移除此行为</t>
  </si>
  <si>
    <t>Summary（概要）
验证配对弹窗无操作超时后显示配对失败提示（注：新版本已移除此行为，标记为不适用），验证：超时后有配对超时提示。
Preconditions（前置条件/环境准备）
1. 配对请求弹窗已弹出。
2. 备注：新版本已移除超时提示行为，此用例不适用。
Steps（操作步骤）
Step 1：在配对弹窗中不进行任何操作，等待超时
目的：验证超时处理逻辑。
对应函数：step_wait_bt_pairing_timeout()
Checks（检查点）
Check 1：超时后显示配对失败/超时提示
检查内容：确认超时后界面给出相关提示。
对应函数：check_bt_pairing_timeout_prompt()</t>
  </si>
  <si>
    <t>[{"kind": "step", "function_name": "step_wait_bt_pairing_timeout", "description": "在配对弹窗中等待直到超时。", "category": "bt_settings", "tags": ["kind:step", "domain:bt_settings"], "params": {"timeout_sec": {"name": "timeout_sec", "type": "int", "required": false, "default": 60, "description": "等待超时时间（秒）"}}, "pre_conditions": [], "post_conditions": []}, {"kind": "check", "function_name": "check_bt_pairing_timeout_prompt", "description": "验证超时后显示配对失败或超时提示。", "category": "bt_settings", "tags": ["kind:check", "domain:bt_settings"], "params": {}, "pre_conditions": [{"id": "step_wait_bt_pairing_timeout", "type": "step", "reason": "先完成上一步操作"}], "post_conditions": []}]</t>
  </si>
  <si>
    <t>BT_Func_012</t>
  </si>
  <si>
    <t>Paired with  BT devices</t>
  </si>
  <si>
    <t>Paired with G20 remote</t>
  </si>
  <si>
    <t>G20 BT remote</t>
  </si>
  <si>
    <t>1.G20 BT remote long press the home button + back button initiate pairing broadcast
2.Enter setting--Remote &amp;Accessories
3.DUT pair with G20 BT remote</t>
  </si>
  <si>
    <t>1.After step 2，DUT can research the G20 BT remote
2.After step3，DUT pair with G20 BT remote successful and every button function is OK</t>
  </si>
  <si>
    <t>Summary（概要）
验证 DUT 在设置界面能与 G20 BT 遥控器成功配对且所有按键功能正常，验证：1. 搜索到 G20；2. 配对成功；3. 所有按键有效。
Preconditions（前置条件/环境准备）
1. G20 BT 遥控器处于配对广播状态（长按 Home+Back 键）。
Steps（操作步骤）
Step 1：G20 长按 Home+Back 启动配对广播，进入设置 → 遥控器与配件
目的：准备配对环境。
对应函数：step_enter_bt_accessories_settings()
Step 2：DUT 搜索并与 G20 配对
目的：完成 G20 配对流程。
对应函数：create_rc_by_device_id()
Checks（检查点）
Check 1：搜索到 G20 并配对成功
检查内容：确认 G20 出现在扫描列表并配对成功。
对应函数：check_bt_device_paired()
Check 2：G20 所有按键功能正常
检查内容：验证配对后遥控器各按键响应正确。
对应函数：check_bt_remote_keys_functional()</t>
  </si>
  <si>
    <t>[{"kind": "step", "function_name": "step_enter_bt_accessories_settings", "description": "进入设置 → 遥控器与配件界面。", "category": "bt_pairing", "tags": ["kind:step", "domain:bt_pairing"], "params": {}, "pre_conditions": [], "post_conditions": []}, {"kind": "step", "function_name": "step_pair_bt_remote_g20", "description": "搜索 G20 BT 遥控器并完成配对。", "category": "bt_pairing", "tags": ["kind:step", "domain:bt_pairing"], "params": {}, "pre_conditions": [{"id": "step_enter_bt_accessories_settings", "type": "step", "reason": "先完成上一步操作"}], "post_conditions": []}, {"kind": "check", "function_name": "check_bt_device_paired", "description": "验证 G20 配对成功。", "category": "bt_pairing", "tags": ["kind:check", "domain:bt_pairing"], "params": {}, "pre_conditions": [{"id": "step_pair_bt_remote_g20", "type": "step", "reason": "先完成上一步操作"}], "post_conditions": []}, {"kind": "check", "function_name": "check_bt_remote_keys_functional", "description": "验证 G20 遥控器各按键功能正常。", "category": "bt_pairing", "tags": ["kind:check", "domain:bt_pairing"], "params": {}, "pre_conditions": [{"id": "step_pair_bt_remote_g20", "type": "step", "reason": "先完成上一步操作"}], "post_conditions": []}]</t>
  </si>
  <si>
    <t>BT_Func_013</t>
  </si>
  <si>
    <t>Paired with Sony BT speaker</t>
  </si>
  <si>
    <t>Sony BT speaker</t>
  </si>
  <si>
    <t>1.Sony BT speaker initiate pairing broadcast
2.DUT pair with Sony BT speaker
3.DUT playback video online
4.Reboot DUT
5.Power off BT speaker 
6.Power on  BT speaker 
7.Change the BT speaker volume</t>
  </si>
  <si>
    <r>
      <rPr>
        <sz val="9"/>
        <color rgb="FF000000"/>
        <rFont val="Arial"/>
        <family val="2"/>
      </rPr>
      <t>1.DUT can research Sony BT speaker
2.DUT pair with Sony BT speaker successful 
3.The sound come out from BT speaker</t>
    </r>
    <r>
      <rPr>
        <sz val="9"/>
        <color rgb="FF000000"/>
        <rFont val="宋体"/>
        <family val="3"/>
        <charset val="134"/>
      </rPr>
      <t>，</t>
    </r>
    <r>
      <rPr>
        <sz val="9"/>
        <color rgb="FF000000"/>
        <rFont val="Arial"/>
        <family val="2"/>
      </rPr>
      <t>sound and video are synchronized and smooth
4.After reboot</t>
    </r>
    <r>
      <rPr>
        <sz val="9"/>
        <color rgb="FF000000"/>
        <rFont val="宋体"/>
        <family val="3"/>
        <charset val="134"/>
      </rPr>
      <t>，</t>
    </r>
    <r>
      <rPr>
        <sz val="9"/>
        <color rgb="FF000000"/>
        <rFont val="Arial"/>
        <family val="2"/>
      </rPr>
      <t>the BT speaker auto connect back
5.After power off BT speaker</t>
    </r>
    <r>
      <rPr>
        <sz val="9"/>
        <color rgb="FF000000"/>
        <rFont val="宋体"/>
        <family val="3"/>
        <charset val="134"/>
      </rPr>
      <t>，</t>
    </r>
    <r>
      <rPr>
        <sz val="9"/>
        <color rgb="FF000000"/>
        <rFont val="Arial"/>
        <family val="2"/>
      </rPr>
      <t>the sound will come out from TV when play music
6.After power on</t>
    </r>
    <r>
      <rPr>
        <sz val="9"/>
        <color rgb="FF000000"/>
        <rFont val="宋体"/>
        <family val="3"/>
        <charset val="134"/>
      </rPr>
      <t>，</t>
    </r>
    <r>
      <rPr>
        <sz val="9"/>
        <color rgb="FF000000"/>
        <rFont val="Arial"/>
        <family val="2"/>
      </rPr>
      <t>the BT speaker auto connect back and sound will come from BT speaker
7.The BT speaker volume will change</t>
    </r>
  </si>
  <si>
    <t>Summary（概要）
验证 DUT 与 Sony BT 音箱配对成功并经历重启、断电、音量调节等场景后仍能正常工作，验证：1. 配对成功；2. 重启后自动重连；3. 音箱断电后切回 TV 音频；4. 音箱上电后自动重连；5. 音量调节有效。
Preconditions（前置条件/环境准备）
1. Sony BT 音箱处于配对广播状态。
Steps（操作步骤）
Step 1：DUT 扫描并与 Sony BT 音箱配对
目的：完成首次配对。
对应函数：step_pair_bluetooth_device()
Step 2：DUT 播放在线视频
目的：验证音频从 BT 音箱输出。
对应函数：step_play_online_video()
Step 3：重启 DUT
目的：测试重启后自动重连能力。
对应函数：step_input_dut_reboot()
Step 4：关闭 BT 音箱
目的：模拟音箱断电，验证音频切回 TV。
对应函数：step_power_off_bt_speaker()
Step 5：开启 BT 音箱
目的：测试音箱上电后自动重连。
对应函数：step_power_on_bt_speaker()
Step 6：调节 BT 音箱音量
目的：验证音量控制有效。
对应函数：step_change_bt_speaker_volume()
Checks（检查点）
Check 1：配对成功，音频从 BT 音箱输出
检查内容：确认配对后播放视频时音频从音箱输出，音视频同步流畅。
对应函数：check_bt_speaker_audio_output()
Check 2：重启后 BT 音箱自动重连
检查内容：确认重启后音箱自动恢复连接。
对应函数：check_bluetooth_device_connected()
Check 3：音箱关闭后音频切换到 TV
检查内容：确认音箱断电后音频从 TV 输出。
对应函数：check_audio_output_from_tv()
Check 4：音箱上电后自动重连且音频从音箱输出
检查内容：确认音箱上电后自动重连并音频切回音箱。
对应函数：check_bt_speaker_audio_output()
Check 5：音量调节有效
检查内容：确认音量变化生效。
对应函数：check_volume_changed()</t>
  </si>
  <si>
    <t>[{"kind": "step", "function_name": "step_pair_bt_speaker", "description": "搜索并与 BT 音箱完成配对。", "category": "bt_pairing", "tags": ["kind:step", "domain:bt_pairing"], "params": {"speaker_name": {"name": "speaker_name", "type": "str", "required": false, "default": "Sony BT Speaker", "description": "BT 音箱名称"}}, "pre_conditions": [], "post_conditions": []}, {"kind": "step", "function_name": "step_play_online_video", "description": "在 DUT 上播放在线视频。", "category": "bt_pairing", "tags": ["kind:step", "domain:bt_pairing"], "params": {}, "pre_conditions": [{"id": "step_pair_bt_speaker", "type": "step", "reason": "先完成上一步操作"}], "post_conditions": []}, {"kind": "step", "function_name": "step_reboot_dut", "description": "重启 DUT。", "category": "bt_pairing", "tags": ["kind:step", "domain:bt_pairing"], "params": {}, "pre_conditions": [{"id": "step_play_online_video", "type": "step", "reason": "先完成上一步操作"}], "post_conditions": []}, {"kind": "step", "function_name": "step_power_off_bt_speaker", "description": "关闭 BT 音箱电源。", "category": "bt_pairing", "tags": ["kind:step", "domain:bt_pairing"], "params": {}, "pre_conditions": [{"id": "step_reboot_dut", "type": "step", "reason": "先完成上一步操作"}], "post_conditions": []}, {"kind": "step", "function_name": "step_power_on_bt_speaker", "description": "开启 BT 音箱电源。", "category": "bt_pairing", "tags": ["kind:step", "domain:bt_pairing"], "params": {}, "pre_conditions": [{"id": "step_power_off_bt_speaker", "type": "step", "reason": "先完成上一步操作"}], "post_conditions": []}, {"kind": "step", "function_name": "step_change_bt_speaker_volume", "description": "调节 BT 音箱音量。", "category": "bt_pairing", "tags": ["kind:step", "domain:bt_pairing"], "params": {}, "pre_conditions": [{"id": "step_power_on_bt_speaker", "type": "step", "reason": "先完成上一步操作"}], "post_conditions": []}, {"kind": "check", "function_name": "check_bt_speaker_audio_output", "description": "验证音频从 BT 音箱正常输出，音视频同步流畅。", "category": "bt_pairing", "tags": ["kind:check", "domain:bt_pairing"], "params": {}, "pre_conditions": [{"id": "step_play_online_video", "type": "step", "reason": "先完成上一步操作"}], "post_conditions": []}, {"kind": "check", "function_name": "check_bt_device_reconnected", "description": "验证 BT 音箱重启后自动重连。", "category": "bt_pairing", "tags": ["kind:check", "domain:bt_pairing"], "params": {}, "pre_conditions": [{"id": "step_reboot_dut", "type": "step", "reason": "先完成上一步操作"}], "post_conditions": []}, {"kind": "check", "function_name": "check_audio_output_from_tv", "description": "验证音箱断电后音频切换至 TV 输出。", "category": "bt_pairing", "tags": ["kind:check", "domain:bt_pairing"], "params": {}, "pre_conditions": [{"id": "step_power_off_bt_speaker", "type": "step", "reason": "先完成上一步操作"}], "post_conditions": []}, {"kind": "check", "function_name": "check_volume_changed", "description": "验证音量调节生效。", "category": "bt_pairing", "tags": ["kind:check", "domain:bt_pairing"], "params": {}, "pre_conditions": [{"id": "step_change_bt_speaker_volume", "type": "step", "reason": "先完成上一步操作"}], "post_conditions": []}]</t>
  </si>
  <si>
    <t>BT_Func_014</t>
  </si>
  <si>
    <t>Receive pictures</t>
  </si>
  <si>
    <t>Paired with mobilephone</t>
  </si>
  <si>
    <r>
      <rPr>
        <sz val="9"/>
        <rFont val="Arial"/>
        <family val="2"/>
      </rPr>
      <t>1.The mobile phone sends pictures of various sizes to the platform.</t>
    </r>
    <r>
      <rPr>
        <sz val="9"/>
        <rFont val="宋体"/>
        <family val="3"/>
        <charset val="134"/>
      </rPr>
      <t>（</t>
    </r>
    <r>
      <rPr>
        <sz val="9"/>
        <rFont val="Arial"/>
        <family val="2"/>
      </rPr>
      <t>300kb/2M/10M</t>
    </r>
    <r>
      <rPr>
        <sz val="9"/>
        <rFont val="宋体"/>
        <family val="3"/>
        <charset val="134"/>
      </rPr>
      <t>）</t>
    </r>
    <r>
      <rPr>
        <sz val="9"/>
        <rFont val="Arial"/>
        <family val="2"/>
      </rPr>
      <t xml:space="preserve">
2.Platform receive picture</t>
    </r>
  </si>
  <si>
    <t>1.Received all kinds pictures successfully
2.After the reception is completed, the picture is displayed in the gallery and displayed normally.</t>
  </si>
  <si>
    <t>需要手机配合,  替代方案:controller 盒子发送picture</t>
  </si>
  <si>
    <t>Summary（概要）
验证通过蓝牙从手机接收多种大小的图片成功，验证：1. 各大小图片接收成功；2. 图片在相册中正常显示。
Preconditions（前置条件/环境准备）
1. DUT 已与手机配对（替代方案：使用 controller 盒子发送图片）。
Steps（操作步骤）
Step 1：手机通过蓝牙向 DUT 发送多种大小图片（300KB/2MB/10MB）
目的：测试不同大小文件的蓝牙接收能力。
对应函数：step_receive_bt_files()
Step 2：DUT 接收并确认图片
目的：完成文件接收流程。
对应函数：step_confirm_bt_file_receive()
Checks（检查点）
Check 1：各大小图片接收成功
检查内容：确认所有图片均接收完整无缺失。
对应函数：check_bt_files_received()
Check 2：图片在相册中正常显示
检查内容：确认接收后的图片可在图库中正常打开。
对应函数：check_received_files_display()</t>
  </si>
  <si>
    <t>[{"kind": "step", "function_name": "step_receive_bt_files", "description": "通过蓝牙接收来自对端设备的文件。", "category": "bt_file_transfer", "tags": ["kind:step", "domain:bt_file_transfer"], "params": {"file_types": {"name": "file_types", "type": "str", "required": false, "default": "image", "description": "文件类型（image/music/video）"}, "file_sizes": {"name": "file_sizes", "type": "str", "required": false, "default": "300KB,2MB,10MB", "description": "测试文件大小列表"}}, "pre_conditions": [], "post_conditions": []}, {"kind": "step", "function_name": "step_confirm_bt_file_receive", "description": "确认蓝牙文件接收对话框。", "category": "bt_file_transfer", "tags": ["kind:step", "domain:bt_file_transfer"], "params": {}, "pre_conditions": [{"id": "step_receive_bt_files", "type": "step", "reason": "先完成上一步操作"}], "post_conditions": []}, {"kind": "check", "function_name": "check_bt_files_received", "description": "验证所有文件接收完整。", "category": "bt_file_transfer", "tags": ["kind:check", "domain:bt_file_transfer"], "params": {}, "pre_conditions": [{"id": "step_confirm_bt_file_receive", "type": "step", "reason": "先完成上一步操作"}], "post_conditions": []}, {"kind": "check", "function_name": "check_received_files_display", "description": "验证接收的图片在相册中正常显示。", "category": "bt_file_transfer", "tags": ["kind:check", "domain:bt_file_transfer"], "params": {}, "pre_conditions": [{"id": "step_confirm_bt_file_receive", "type": "step", "reason": "先完成上一步操作"}], "post_conditions": []}]</t>
  </si>
  <si>
    <t>BT_Func_015</t>
  </si>
  <si>
    <t>Receive musics</t>
  </si>
  <si>
    <r>
      <rPr>
        <sz val="9"/>
        <rFont val="Arial"/>
        <family val="2"/>
      </rPr>
      <t>1.The mobile phone sends different formats of musics to the platform.</t>
    </r>
    <r>
      <rPr>
        <sz val="9"/>
        <rFont val="宋体"/>
        <family val="3"/>
        <charset val="134"/>
      </rPr>
      <t>（</t>
    </r>
    <r>
      <rPr>
        <sz val="9"/>
        <rFont val="Arial"/>
        <family val="2"/>
      </rPr>
      <t>mp3/wma/wav/flac/m4a/aac</t>
    </r>
    <r>
      <rPr>
        <sz val="9"/>
        <rFont val="宋体"/>
        <family val="3"/>
        <charset val="134"/>
      </rPr>
      <t>）</t>
    </r>
    <r>
      <rPr>
        <sz val="9"/>
        <rFont val="Arial"/>
        <family val="2"/>
      </rPr>
      <t xml:space="preserve">
2.Platform receive musics</t>
    </r>
  </si>
  <si>
    <t>1.Received all kinds musics successfully
2.After the reception is completed, the song plays normally in the music playery.</t>
  </si>
  <si>
    <t>需要手机配合,  替代方案:controller 盒子发送music</t>
  </si>
  <si>
    <t>Summary（概要）
验证通过蓝牙从手机接收多种格式音乐文件成功，验证：1. 各格式音乐接收成功；2. 在音乐播放器中正常播放。
Preconditions（前置条件/环境准备）
1. DUT 已与手机配对（替代方案：controller 盒子发送 music）。
Steps（操作步骤）
Step 1：手机通过蓝牙向 DUT 发送多种格式音乐（mp3/wma/wav/flac/m4a/aac）
目的：测试多格式音乐文件蓝牙接收。
对应函数：step_receive_bt_files()
Step 2：DUT 接收并确认文件
目的：完成接收流程。
对应函数：step_confirm_bt_file_receive()
Checks（检查点）
Check 1：各格式音乐接收成功
检查内容：确认所有格式音乐接收完整。
对应函数：check_bt_files_received()
Check 2：音乐在播放器中正常播放
检查内容：确认接收后的音乐可在音乐播放器中正常播放。
对应函数：check_received_files_display()</t>
  </si>
  <si>
    <t>[{"kind": "step", "function_name": "step_receive_bt_files", "description": "通过蓝牙接收音乐文件。", "category": "bt_file_transfer", "tags": ["kind:step", "domain:bt_file_transfer"], "params": {"file_types": {"name": "file_types", "type": "str", "required": false, "default": "music", "description": "文件类型"}, "formats": {"name": "formats", "type": "str", "required": false, "default": "mp3,wma,wav,flac,m4a,aac", "description": "测试音乐格式列表"}}, "pre_conditions": [], "post_conditions": []}, {"kind": "step", "function_name": "step_confirm_bt_file_receive", "description": "确认文件接收。", "category": "bt_file_transfer", "tags": ["kind:step", "domain:bt_file_transfer"], "params": {}, "pre_conditions": [{"id": "step_receive_bt_files", "type": "step", "reason": "先完成上一步操作"}], "post_conditions": []}, {"kind": "check", "function_name": "check_bt_files_received", "description": "验证所有音乐文件接收完整。", "category": "bt_file_transfer", "tags": ["kind:check", "domain:bt_file_transfer"], "params": {}, "pre_conditions": [{"id": "step_confirm_bt_file_receive", "type": "step", "reason": "先完成上一步操作"}], "post_conditions": []}, {"kind": "check", "function_name": "check_received_files_display", "description": "验证接收的音乐在播放器中正常播放。", "category": "bt_file_transfer", "tags": ["kind:check", "domain:bt_file_transfer"], "params": {}, "pre_conditions": [{"id": "step_confirm_bt_file_receive", "type": "step", "reason": "先完成上一步操作"}], "post_conditions": []}]</t>
  </si>
  <si>
    <t>BT_Func_016</t>
  </si>
  <si>
    <t>Receive videos</t>
  </si>
  <si>
    <t>Paired with mobile phone</t>
  </si>
  <si>
    <r>
      <rPr>
        <sz val="9"/>
        <color rgb="FF000000"/>
        <rFont val="Arial"/>
      </rPr>
      <t>1.The mobile phone sends  pictures of various sizes to the platform.</t>
    </r>
    <r>
      <rPr>
        <sz val="9"/>
        <color rgb="FF000000"/>
        <rFont val="宋体"/>
      </rPr>
      <t>（</t>
    </r>
    <r>
      <rPr>
        <sz val="9"/>
        <color rgb="FF000000"/>
        <rFont val="Arial"/>
      </rPr>
      <t>3gp/mp4</t>
    </r>
    <r>
      <rPr>
        <sz val="9"/>
        <color rgb="FF000000"/>
        <rFont val="宋体"/>
      </rPr>
      <t>）（</t>
    </r>
    <r>
      <rPr>
        <sz val="9"/>
        <color rgb="FF000000"/>
        <rFont val="Arial"/>
      </rPr>
      <t>20M/100M</t>
    </r>
    <r>
      <rPr>
        <sz val="9"/>
        <color rgb="FF000000"/>
        <rFont val="宋体"/>
      </rPr>
      <t xml:space="preserve">）
</t>
    </r>
    <r>
      <rPr>
        <sz val="9"/>
        <color rgb="FF000000"/>
        <rFont val="Arial"/>
      </rPr>
      <t>2.Platform receive videos</t>
    </r>
  </si>
  <si>
    <t>1.Received all kinds videos successfully
2.After the reception is completed, the video plays normally in movieplayer</t>
  </si>
  <si>
    <t>需要手机配合,  替代方案:盒子接收video</t>
  </si>
  <si>
    <t>Summary（概要）
验证通过蓝牙从手机接收多种格式视频文件成功，验证：1. 各格式/大小视频接收成功；2. 在视频播放器中正常播放。
Preconditions（前置条件/环境准备）
1. DUT 已与手机配对（替代方案：controller 盒子发送 video）。
Steps（操作步骤）
Step 1：手机通过蓝牙向 DUT 发送视频文件（3gp/mp4，20MB/100MB）
目的：测试视频文件蓝牙接收。
对应函数：step_receive_bt_files()
Step 2：DUT 接收并确认文件
目的：完成接收流程。
对应函数：step_confirm_bt_file_receive()
Checks（检查点）
Check 1：各格式视频接收成功
检查内容：确认所有视频文件接收完整。
对应函数：check_bt_files_received()
Check 2：视频在播放器中正常播放
检查内容：确认接收的视频可在视频播放器中正常播放。
对应函数：check_received_files_display()</t>
  </si>
  <si>
    <t>[{"kind": "step", "function_name": "step_receive_bt_files", "description": "通过蓝牙接收视频文件。", "category": "bt_file_transfer", "tags": ["kind:step", "domain:bt_file_transfer"], "params": {"file_types": {"name": "file_types", "type": "str", "required": false, "default": "video", "description": "文件类型"}, "formats": {"name": "formats", "type": "str", "required": false, "default": "3gp,mp4", "description": "视频格式"}, "file_sizes": {"name": "file_sizes", "type": "str", "required": false, "default": "20MB,100MB", "description": "文件大小"}}, "pre_conditions": [], "post_conditions": []}, {"kind": "step", "function_name": "step_confirm_bt_file_receive", "description": "确认文件接收。", "category": "bt_file_transfer", "tags": ["kind:step", "domain:bt_file_transfer"], "params": {}, "pre_conditions": [{"id": "step_receive_bt_files", "type": "step", "reason": "先完成上一步操作"}], "post_conditions": []}, {"kind": "check", "function_name": "check_bt_files_received", "description": "验证视频接收完整。", "category": "bt_file_transfer", "tags": ["kind:check", "domain:bt_file_transfer"], "params": {}, "pre_conditions": [{"id": "step_confirm_bt_file_receive", "type": "step", "reason": "先完成上一步操作"}], "post_conditions": []}, {"kind": "check", "function_name": "check_received_files_display", "description": "验证视频在播放器中正常播放。", "category": "bt_file_transfer", "tags": ["kind:check", "domain:bt_file_transfer"], "params": {}, "pre_conditions": [{"id": "step_confirm_bt_file_receive", "type": "step", "reason": "先完成上一步操作"}], "post_conditions": []}]</t>
  </si>
  <si>
    <t>BT_Func_017</t>
  </si>
  <si>
    <t>Send pictures</t>
  </si>
  <si>
    <r>
      <rPr>
        <sz val="9"/>
        <rFont val="Arial"/>
        <family val="2"/>
      </rPr>
      <t>1.The platform sends pictures of various sizes to the mobile phone.</t>
    </r>
    <r>
      <rPr>
        <sz val="9"/>
        <rFont val="宋体"/>
        <family val="3"/>
        <charset val="134"/>
      </rPr>
      <t>（</t>
    </r>
    <r>
      <rPr>
        <sz val="9"/>
        <rFont val="Arial"/>
        <family val="2"/>
      </rPr>
      <t>300kb/2M/10M</t>
    </r>
    <r>
      <rPr>
        <sz val="9"/>
        <rFont val="宋体"/>
        <family val="3"/>
        <charset val="134"/>
      </rPr>
      <t>）</t>
    </r>
    <r>
      <rPr>
        <sz val="9"/>
        <rFont val="Arial"/>
        <family val="2"/>
      </rPr>
      <t xml:space="preserve">
2.Mobile phone receive picture</t>
    </r>
  </si>
  <si>
    <t>需要手机配合,  替代方案:盒子接收picture</t>
  </si>
  <si>
    <t>Summary（概要）
验证 DUT 通过蓝牙向手机发送多种大小图片成功，验证：1. 图片发送成功；2. 手机相册显示正常。
Preconditions（前置条件/环境准备）
1. DUT 已与手机配对（替代方案：DUT 向盒子发送图片）。
Steps（操作步骤）
Step 1：DUT 通过蓝牙向手机发送多种大小图片（300KB/2MB/10MB）
目的：测试图片发送功能。
对应函数：step_send_bt_files()
Step 2：手机接收并确认图片
目的：完成发送流程。
对应函数：step_confirm_bt_file_receive()
Checks（检查点）
Check 1：各大小图片发送成功
检查内容：确认所有图片发送完整。
对应函数：check_bt_files_received()
Check 2：手机相册正常显示图片
检查内容：确认手机端接收的图片可正常显示。
对应函数：check_received_files_display()</t>
  </si>
  <si>
    <t>[{"kind": "step", "function_name": "step_send_bt_files", "description": "DUT 通过蓝牙向目标设备发送文件。", "category": "bt_file_transfer", "tags": ["kind:step", "domain:bt_file_transfer"], "params": {"file_types": {"name": "file_types", "type": "str", "required": false, "default": "image", "description": "文件类型"}, "file_sizes": {"name": "file_sizes", "type": "str", "required": false, "default": "300KB,2MB,10MB", "description": "文件大小"}}, "pre_conditions": [], "post_conditions": []}, {"kind": "step", "function_name": "step_confirm_bt_file_receive", "description": "确认对端接收文件。", "category": "bt_file_transfer", "tags": ["kind:step", "domain:bt_file_transfer"], "params": {}, "pre_conditions": [{"id": "step_send_bt_files", "type": "step", "reason": "先完成上一步操作"}], "post_conditions": []}, {"kind": "check", "function_name": "check_bt_files_received", "description": "验证文件发送完整接收。", "category": "bt_file_transfer", "tags": ["kind:check", "domain:bt_file_transfer"], "params": {}, "pre_conditions": [{"id": "step_confirm_bt_file_receive", "type": "step", "reason": "先完成上一步操作"}], "post_conditions": []}, {"kind": "check", "function_name": "check_received_files_display", "description": "验证接收文件在相册中正常显示。", "category": "bt_file_transfer", "tags": ["kind:check", "domain:bt_file_transfer"], "params": {}, "pre_conditions": [{"id": "step_confirm_bt_file_receive", "type": "step", "reason": "先完成上一步操作"}], "post_conditions": []}]</t>
  </si>
  <si>
    <t>BT_Func_018</t>
  </si>
  <si>
    <t>Send musics</t>
  </si>
  <si>
    <r>
      <rPr>
        <sz val="9"/>
        <rFont val="Arial"/>
        <family val="2"/>
      </rPr>
      <t>1.The platform sends different formats of musics to the mobile phone.</t>
    </r>
    <r>
      <rPr>
        <sz val="9"/>
        <rFont val="宋体"/>
        <family val="3"/>
        <charset val="134"/>
      </rPr>
      <t>（</t>
    </r>
    <r>
      <rPr>
        <sz val="9"/>
        <rFont val="Arial"/>
        <family val="2"/>
      </rPr>
      <t>mp3/wma/wav/flac/m4a/aac</t>
    </r>
    <r>
      <rPr>
        <sz val="9"/>
        <rFont val="宋体"/>
        <family val="3"/>
        <charset val="134"/>
      </rPr>
      <t>）</t>
    </r>
    <r>
      <rPr>
        <sz val="9"/>
        <rFont val="Arial"/>
        <family val="2"/>
      </rPr>
      <t xml:space="preserve">
2.Mobile phone receive musics</t>
    </r>
  </si>
  <si>
    <t>需要手机配合,  替代方案:盒子接收music</t>
  </si>
  <si>
    <t>Summary（概要）
验证 DUT 通过蓝牙向手机发送多种格式音乐文件成功，验证：1. 各格式音乐发送成功；2. 手机播放器正常播放。
Preconditions（前置条件/环境准备）
1. DUT 已与手机配对（替代方案：DUT 向盒子发送 music）。
Steps（操作步骤）
Step 1：DUT 通过蓝牙向手机发送多格式音乐（mp3/wma/wav/flac/m4a/aac）
目的：测试音乐文件发送功能。
对应函数：step_send_bt_files()
Step 2：手机接收并确认音乐文件
目的：完成发送流程。
对应函数：step_confirm_bt_file_receive()
Checks（检查点）
Check 1：各格式音乐发送成功
检查内容：确认所有音乐文件发送完整。
对应函数：check_bt_files_received()
Check 2：手机播放器正常播放
检查内容：确认手机端接收的音乐可正常播放。
对应函数：check_received_files_display()</t>
  </si>
  <si>
    <t>[{"kind": "step", "function_name": "step_send_bt_files", "description": "发送音乐文件。", "category": "bt_file_transfer", "tags": ["kind:step", "domain:bt_file_transfer"], "params": {"file_types": {"name": "file_types", "type": "str", "required": false, "default": "music", "description": "文件类型"}, "formats": {"name": "formats", "type": "str", "required": false, "default": "mp3,wma,wav,flac,m4a,aac", "description": "音乐格式"}}, "pre_conditions": [], "post_conditions": []}, {"kind": "step", "function_name": "step_confirm_bt_file_receive", "description": "确认接收。", "category": "bt_file_transfer", "tags": ["kind:step", "domain:bt_file_transfer"], "params": {}, "pre_conditions": [{"id": "step_send_bt_files", "type": "step", "reason": "先完成上一步操作"}], "post_conditions": []}, {"kind": "check", "function_name": "check_bt_files_received", "description": "验证音乐发送成功。", "category": "bt_file_transfer", "tags": ["kind:check", "domain:bt_file_transfer"], "params": {}, "pre_conditions": [{"id": "step_confirm_bt_file_receive", "type": "step", "reason": "先完成上一步操作"}], "post_conditions": []}, {"kind": "check", "function_name": "check_received_files_display", "description": "验证手机播放器正常播放。", "category": "bt_file_transfer", "tags": ["kind:check", "domain:bt_file_transfer"], "params": {}, "pre_conditions": [{"id": "step_confirm_bt_file_receive", "type": "step", "reason": "先完成上一步操作"}], "post_conditions": []}]</t>
  </si>
  <si>
    <t>BT_Func_019</t>
  </si>
  <si>
    <t>Send videos</t>
  </si>
  <si>
    <r>
      <rPr>
        <sz val="9"/>
        <rFont val="Arial"/>
        <family val="2"/>
      </rPr>
      <t>1.The platform sends  pictures of various sizes to the mobile phone.</t>
    </r>
    <r>
      <rPr>
        <sz val="9"/>
        <rFont val="宋体"/>
        <family val="3"/>
        <charset val="134"/>
      </rPr>
      <t>（</t>
    </r>
    <r>
      <rPr>
        <sz val="9"/>
        <rFont val="Arial"/>
        <family val="2"/>
      </rPr>
      <t>3gp/mp4</t>
    </r>
    <r>
      <rPr>
        <sz val="9"/>
        <rFont val="宋体"/>
        <family val="3"/>
        <charset val="134"/>
      </rPr>
      <t>）（</t>
    </r>
    <r>
      <rPr>
        <sz val="9"/>
        <rFont val="Arial"/>
        <family val="2"/>
      </rPr>
      <t>20M/100M</t>
    </r>
    <r>
      <rPr>
        <sz val="9"/>
        <rFont val="宋体"/>
        <family val="3"/>
        <charset val="134"/>
      </rPr>
      <t>）</t>
    </r>
    <r>
      <rPr>
        <sz val="9"/>
        <rFont val="Arial"/>
        <family val="2"/>
      </rPr>
      <t xml:space="preserve">
2.Mobile phone receive videos</t>
    </r>
  </si>
  <si>
    <t>1.Received all kinds videos successfully
2.After the reception is completed, the video plays normally in video player</t>
  </si>
  <si>
    <t>Summary（概要）
验证 DUT 通过蓝牙向手机发送多种格式视频文件成功，验证：1. 视频发送成功；2. 手机视频播放器正常播放。
Preconditions（前置条件/环境准备）
1. DUT 已与手机配对（替代方案：DUT 向盒子发送 video）。
Steps（操作步骤）
Step 1：DUT 通过蓝牙向手机发送视频文件（3gp/mp4，20MB/100MB）
目的：测试视频文件发送功能。
对应函数：step_send_bt_files()
Step 2：手机接收并确认视频
目的：完成发送流程。
对应函数：step_confirm_bt_file_receive()
Checks（检查点）
Check 1：各格式视频发送成功
检查内容：确认视频文件发送完整。
对应函数：check_bt_files_received()
Check 2：手机视频播放器正常播放
检查内容：确认手机端接收的视频可正常播放。
对应函数：check_received_files_display()</t>
  </si>
  <si>
    <t>[{"kind": "step", "function_name": "step_send_bt_files", "description": "发送视频文件。", "category": "bt_file_transfer", "tags": ["kind:step", "domain:bt_file_transfer"], "params": {"file_types": {"name": "file_types", "type": "str", "required": false, "default": "video", "description": "文件类型"}, "formats": {"name": "formats", "type": "str", "required": false, "default": "3gp,mp4", "description": "视频格式"}}, "pre_conditions": [], "post_conditions": []}, {"kind": "step", "function_name": "step_confirm_bt_file_receive", "description": "确认接收。", "category": "bt_file_transfer", "tags": ["kind:step", "domain:bt_file_transfer"], "params": {}, "pre_conditions": [{"id": "step_send_bt_files", "type": "step", "reason": "先完成上一步操作"}], "post_conditions": []}, {"kind": "check", "function_name": "check_bt_files_received", "description": "验证视频发送成功。", "category": "bt_file_transfer", "tags": ["kind:check", "domain:bt_file_transfer"], "params": {}, "pre_conditions": [{"id": "step_confirm_bt_file_receive", "type": "step", "reason": "先完成上一步操作"}], "post_conditions": []}, {"kind": "check", "function_name": "check_received_files_display", "description": "验证手机播放器正常播放。", "category": "bt_file_transfer", "tags": ["kind:check", "domain:bt_file_transfer"], "params": {}, "pre_conditions": [{"id": "step_confirm_bt_file_receive", "type": "step", "reason": "先完成上一步操作"}], "post_conditions": []}]</t>
  </si>
  <si>
    <t>BT_Func_020</t>
  </si>
  <si>
    <t>BT headset(HSP)</t>
  </si>
  <si>
    <t>Recording</t>
  </si>
  <si>
    <t>Paired with BT headset</t>
  </si>
  <si>
    <t>1.Install blerecorder.apk 
2.Paired with BT headset
3.Open blerecorder.apk  and use BT earphone record</t>
  </si>
  <si>
    <t>BT headset can record and recording files play normal</t>
  </si>
  <si>
    <t>Summary（概要）
验证 BT 耳机录音功能正常，验证：1. 录音文件保存成功；2. 录音文件回放正常。
Preconditions（前置条件/环境准备）
1. DUT 已安装 blerecorder.apk，BT 耳机已配对。
Steps（操作步骤）
Step 1：安装 blerecorder.apk 并与 BT 耳机配对
目的：准备录音测试环境。
对应函数：step_setup_bt_headset_record()
Step 2：打开 blerecorder.apk 并用 BT 耳机录音
目的：触发录音流程验证 HSP 录音功能。
对应函数：step_record_via_bt_headset()
Checks（检查点）
Check 1：录音功能正常，录音文件保存成功
检查内容：确认录音文件已生成且大小合理。
对应函数：check_bt_headset_recording_saved()
Check 2：录音文件回放正常
检查内容：确认录音文件可正常播放，内容清晰。
对应函数：check_audio_playback_no_artifacts()</t>
  </si>
  <si>
    <t>[{"kind": "step", "function_name": "step_setup_bt_headset_record", "description": "安装录音 APK 并完成 BT 耳机配对。", "category": "bt_headset", "tags": ["kind:step", "domain:bt_headset"], "params": {}, "pre_conditions": [], "post_conditions": []}, {"kind": "step", "function_name": "step_record_via_bt_headset", "description": "通过 BT 耳机使用录音应用进行录制。", "category": "bt_headset", "tags": ["kind:step", "domain:bt_headset"], "params": {"record_duration": {"name": "record_duration", "type": "int", "required": false, "default": 10, "description": "录音时长（秒）"}}, "pre_conditions": [{"id": "step_setup_bt_headset_record", "type": "step", "reason": "先完成上一步操作"}], "post_conditions": []}, {"kind": "check", "function_name": "check_bt_headset_recording_saved", "description": "验证录音文件已保存且不为空。", "category": "bt_headset", "tags": ["kind:check", "domain:bt_headset"], "params": {}, "pre_conditions": [{"id": "step_record_via_bt_headset", "type": "step", "reason": "先完成上一步操作"}], "post_conditions": []}, {"kind": "check", "function_name": "check_audio_playback_no_artifacts", "description": "验证录音文件回放无杂音/卡顿。", "category": "bt_headset", "tags": ["kind:check", "domain:bt_headset"], "params": {}, "pre_conditions": [{"id": "step_record_via_bt_headset", "type": "step", "reason": "先完成上一步操作"}], "post_conditions": []}]</t>
  </si>
  <si>
    <t>BT_Func_021</t>
  </si>
  <si>
    <t>Listen to music</t>
  </si>
  <si>
    <r>
      <rPr>
        <sz val="9"/>
        <color theme="1"/>
        <rFont val="Arial"/>
        <family val="2"/>
      </rPr>
      <t>After pairing with BT headset</t>
    </r>
    <r>
      <rPr>
        <sz val="9"/>
        <color theme="1"/>
        <rFont val="宋体"/>
        <family val="3"/>
        <charset val="134"/>
      </rPr>
      <t>，</t>
    </r>
    <r>
      <rPr>
        <sz val="9"/>
        <color theme="1"/>
        <rFont val="Arial"/>
        <family val="2"/>
      </rPr>
      <t>listen to music or video</t>
    </r>
  </si>
  <si>
    <t>Bluetooth headset sounds normal and the sound is not stuck</t>
  </si>
  <si>
    <t>需再评估确认</t>
  </si>
  <si>
    <t>当前实现检测audio stuck 有些困难</t>
  </si>
  <si>
    <t>Summary（概要）
验证通过 BT 耳机收听音乐或视频时音频正常且无卡顿，验证：BT 耳机声音正常，无爆音/卡顿。
Preconditions（前置条件/环境准备）
1. DUT 已与 BT 耳机成功配对。
Steps（操作步骤）
Step 1：通过 BT 耳机播放音乐或视频
目的：验证 HSP 音频输出质量。
对应函数：step_play_audio_via_bt_headset()
Checks（检查点）
Check 1：BT 耳机声音正常，无卡顿/爆音
检查内容：确认 BT 耳机音频持续输出，无明显异常。
对应函数：check_audio_playback_no_artifacts()</t>
  </si>
  <si>
    <t>[{"kind": "step", "function_name": "step_play_audio_via_bt_headset", "description": "通过已配对 BT 耳机播放音乐或视频。", "category": "bt_headset", "tags": ["kind:step", "domain:bt_headset"], "params": {"play_duration": {"name": "play_duration", "type": "int", "required": false, "default": 30, "description": "播放时长（秒）"}}, "pre_conditions": [], "post_conditions": []}, {"kind": "check", "function_name": "check_audio_playback_no_artifacts", "description": "验证 BT 耳机播放无爆音、杂音、卡顿等异常。", "category": "bt_headset", "tags": ["kind:check", "domain:bt_headset"], "params": {}, "pre_conditions": [{"id": "step_play_audio_via_bt_headset", "type": "step", "reason": "先完成上一步操作"}], "post_conditions": []}]</t>
  </si>
  <si>
    <t>BT_Func_022</t>
  </si>
  <si>
    <t>Reconnect after reboot</t>
  </si>
  <si>
    <t>1.Paired with BT headset
2.Reboot the platform</t>
  </si>
  <si>
    <t>Bluetooth headset automatically connected after restart</t>
  </si>
  <si>
    <t>Summary（概要）
验证 DUT 重启后 BT 耳机自动重连，验证：重启后耳机自动恢复连接。
Preconditions（前置条件/环境准备）
1. DUT 已与 BT 耳机成功配对。
Steps（操作步骤）
Step 1：重启 DUT
目的：测试重启后 BT 耳机自动重连能力。
对应函数：step_reboot_dut()
Checks（检查点）
Check 1：重启后 BT 耳机自动连接
检查内容：确认重启后耳机自动重连成功。
对应函数：check_bt_device_reconnected()</t>
  </si>
  <si>
    <t>[{"kind": "step", "function_name": "step_reboot_dut", "description": "重启 DUT。", "category": "bt_headset", "tags": ["kind:step", "domain:bt_headset"], "params": {}, "pre_conditions": [], "post_conditions": []}, {"kind": "check", "function_name": "check_bt_device_reconnected", "description": "验证 BT 耳机重启后自动重连。", "category": "bt_headset", "tags": ["kind:check", "domain:bt_headset"], "params": {}, "pre_conditions": [{"id": "step_reboot_dut", "type": "step", "reason": "先完成上一步操作"}], "post_conditions": []}]</t>
  </si>
  <si>
    <t>BT_Func_023</t>
  </si>
  <si>
    <t>Reconnect after turn off/on BT headset</t>
  </si>
  <si>
    <t>1.Paired with BT headset
2.Turn off the BT headset
3.Turn on the BT headset</t>
  </si>
  <si>
    <t>Bluetooth headset automatically connected after turn on</t>
  </si>
  <si>
    <t>Summary（概要）
验证 BT 耳机关闭后重新开启能自动重连，验证：耳机开启后自动恢复连接。
Preconditions（前置条件/环境准备）
1. DUT 已与 BT 耳机成功配对。
Steps（操作步骤）
Step 1：关闭 BT 耳机
目的：模拟耳机断电，验证断连处理。
对应函数：step_power_off_bt_headset()
Step 2：重新开启 BT 耳机
目的：测试耳机上电后自动重连能力。
对应函数：step_power_on_bt_headset()
Checks（检查点）
Check 1：耳机重新开启后自动连接
检查内容：确认耳机上电后自动重连成功。
对应函数：check_bt_device_reconnected()</t>
  </si>
  <si>
    <t>[{"kind": "step", "function_name": "step_power_off_bt_headset", "description": "关闭 BT 耳机电源。", "category": "bt_headset", "tags": ["kind:step", "domain:bt_headset"], "params": {}, "pre_conditions": [], "post_conditions": []}, {"kind": "step", "function_name": "step_power_on_bt_headset", "description": "开启 BT 耳机电源。", "category": "bt_headset", "tags": ["kind:step", "domain:bt_headset"], "params": {}, "pre_conditions": [{"id": "step_power_off_bt_headset", "type": "step", "reason": "先完成上一步操作"}], "post_conditions": []}, {"kind": "check", "function_name": "check_bt_device_reconnected", "description": "验证 BT 耳机上电后自动重连。", "category": "bt_headset", "tags": ["kind:check", "domain:bt_headset"], "params": {}, "pre_conditions": [{"id": "step_power_on_bt_headset", "type": "step", "reason": "先完成上一步操作"}], "post_conditions": []}]</t>
  </si>
  <si>
    <t>BT_Func_024</t>
  </si>
  <si>
    <t>Swith form BT headset to TV</t>
  </si>
  <si>
    <t>1.Paired with BT headset
2.Play local video
3.Turn off the BT headset
4.Turn on the BT headset</t>
  </si>
  <si>
    <r>
      <rPr>
        <sz val="9"/>
        <color rgb="FF000000"/>
        <rFont val="Arial"/>
        <family val="2"/>
      </rPr>
      <t xml:space="preserve">1.Step 2 </t>
    </r>
    <r>
      <rPr>
        <sz val="9"/>
        <color rgb="FF000000"/>
        <rFont val="宋体"/>
        <family val="3"/>
        <charset val="134"/>
      </rPr>
      <t>，</t>
    </r>
    <r>
      <rPr>
        <sz val="9"/>
        <color rgb="FF000000"/>
        <rFont val="Arial"/>
        <family val="2"/>
      </rPr>
      <t xml:space="preserve">the sound come from BT headset
2.Step 3 </t>
    </r>
    <r>
      <rPr>
        <sz val="9"/>
        <color rgb="FF000000"/>
        <rFont val="宋体"/>
        <family val="3"/>
        <charset val="134"/>
      </rPr>
      <t>，</t>
    </r>
    <r>
      <rPr>
        <sz val="9"/>
        <color rgb="FF000000"/>
        <rFont val="Arial"/>
        <family val="2"/>
      </rPr>
      <t xml:space="preserve">the sound come from TV
3.Step 4 </t>
    </r>
    <r>
      <rPr>
        <sz val="9"/>
        <color rgb="FF000000"/>
        <rFont val="宋体"/>
        <family val="3"/>
        <charset val="134"/>
      </rPr>
      <t>，</t>
    </r>
    <r>
      <rPr>
        <sz val="9"/>
        <color rgb="FF000000"/>
        <rFont val="Arial"/>
        <family val="2"/>
      </rPr>
      <t>the sound come from BT headset</t>
    </r>
  </si>
  <si>
    <t>如何检测audio output？ 日志？</t>
  </si>
  <si>
    <t>Summary（概要）
验证 BT 耳机断开后音频切换至 TV，耳机重连后切回耳机输出，验证：1. 播放时音频从耳机输出；2. 耳机关闭后切 TV；3. 耳机开启后切回耳机。
Preconditions（前置条件/环境准备）
1. DUT 已与 BT 耳机配对，正在播放本地视频。
Steps（操作步骤）
Step 1：播放本地视频，确认音频从 BT 耳机输出
目的：建立基准音频输出场景。
对应函数：step_play_local_video()
Step 2：关闭 BT 耳机
目的：模拟耳机断电，验证音频切换到 TV。
对应函数：step_power_off_bt_headset()
Step 3：重新开启 BT 耳机
目的：验证音频切回 BT 耳机。
对应函数：step_power_on_bt_headset()
Checks（检查点）
Check 1：播放时音频从 BT 耳机输出
检查内容：确认播放期间音频路由到 BT 耳机。
对应函数：check_bt_headset_audio_output()
Check 2：耳机关闭后音频切换到 TV
检查内容：确认断连后音频从 TV 输出。
对应函数：check_audio_output_from_tv()
Check 3：耳机开启后音频切回耳机
检查内容：确认重连后音频恢复从耳机输出。
对应函数：check_bt_headset_audio_output()</t>
  </si>
  <si>
    <t>[{"kind": "step", "function_name": "step_play_local_video", "description": "在 DUT 上播放本地视频。", "category": "bt_headset", "tags": ["kind:step", "domain:bt_headset"], "params": {}, "pre_conditions": [], "post_conditions": []}, {"kind": "step", "function_name": "step_power_off_bt_headset", "description": "关闭 BT 耳机。", "category": "bt_headset", "tags": ["kind:step", "domain:bt_headset"], "params": {}, "pre_conditions": [{"id": "step_play_local_video", "type": "step", "reason": "先完成上一步操作"}], "post_conditions": []}, {"kind": "step", "function_name": "step_power_on_bt_headset", "description": "开启 BT 耳机。", "category": "bt_headset", "tags": ["kind:step", "domain:bt_headset"], "params": {}, "pre_conditions": [{"id": "step_power_off_bt_headset", "type": "step", "reason": "先完成上一步操作"}], "post_conditions": []}, {"kind": "check", "function_name": "check_bt_headset_audio_output", "description": "验证音频从 BT 耳机输出。", "category": "bt_headset", "tags": ["kind:check", "domain:bt_headset"], "params": {}, "pre_conditions": [{"id": "step_play_local_video", "type": "step", "reason": "先完成上一步操作"}], "post_conditions": []}, {"kind": "check", "function_name": "check_audio_output_from_tv", "description": "验证耳机断开后音频切换至 TV 输出。", "category": "bt_headset", "tags": ["kind:check", "domain:bt_headset"], "params": {}, "pre_conditions": [{"id": "step_power_off_bt_headset", "type": "step", "reason": "先完成上一步操作"}], "post_conditions": []}]</t>
  </si>
  <si>
    <t>BT_Func_025</t>
  </si>
  <si>
    <t>Change the volume</t>
  </si>
  <si>
    <t>1.Paired with BT headset
2.Change the volume by remote
3.Change the volume by BT headset</t>
  </si>
  <si>
    <t>Step 2 and step 3 can change the volume</t>
  </si>
  <si>
    <t>这个大概率也是采用日志检测了</t>
  </si>
  <si>
    <t>Summary（概要）
验证通过遥控器和 BT 耳机均可调节音量，验证：两种方式音量调节均有效。
Preconditions（前置条件/环境准备）
1. DUT 已与 BT 耳机配对，正在播放音频。
Steps（操作步骤）
Step 1：通过遥控器调节音量
目的：验证遥控器音量控制对 BT 耳机有效。
对应函数：step_change_volume_via_remote()
Step 2：通过 BT 耳机按键调节音量
目的：验证耳机自带按键音量控制有效。
对应函数：step_change_bt_headset_volume()
Checks（检查点）
Check 1：遥控器调节音量有效
检查内容：确认遥控器调节后音量变化生效。
对应函数：check_volume_changed()
Check 2：BT 耳机调节音量有效
检查内容：确认耳机按键调节后音量变化生效。
对应函数：check_volume_changed()</t>
  </si>
  <si>
    <t>[{"kind": "step", "function_name": "step_change_volume_via_remote", "description": "通过遥控器按键调节音量。", "category": "bt_headset", "tags": ["kind:step", "domain:bt_headset"], "params": {"direction": {"name": "direction", "type": "str", "required": false, "default": "up", "description": "调节方向（up/down）"}}, "pre_conditions": [], "post_conditions": []}, {"kind": "step", "function_name": "step_change_bt_headset_volume", "description": "通过 BT 耳机按键调节音量。", "category": "bt_headset", "tags": ["kind:step", "domain:bt_headset"], "params": {"direction": {"name": "direction", "type": "str", "required": false, "default": "up", "description": "调节方向"}}, "pre_conditions": [], "post_conditions": []}, {"kind": "check", "function_name": "check_volume_changed", "description": "验证音量已变化。", "category": "bt_headset", "tags": ["kind:check", "domain:bt_headset"], "params": {}, "pre_conditions": [{"id": "step_change_volume_via_remote", "type": "step", "reason": "先完成上一步操作"}], "post_conditions": []}]</t>
  </si>
  <si>
    <t>BT_Func_026</t>
  </si>
  <si>
    <t>Return the connection range for back connection</t>
  </si>
  <si>
    <t>1.Paired with BT speaker 
2.Gradually increase the distance between the BT speaker and the platform
3.Gradually reduce the distance between the BT speaker and the platform</t>
  </si>
  <si>
    <r>
      <rPr>
        <sz val="9"/>
        <color rgb="FF000000"/>
        <rFont val="Arial"/>
        <family val="2"/>
      </rPr>
      <t>1.Step 2</t>
    </r>
    <r>
      <rPr>
        <sz val="9"/>
        <color rgb="FF000000"/>
        <rFont val="宋体"/>
        <family val="3"/>
        <charset val="134"/>
      </rPr>
      <t>，</t>
    </r>
    <r>
      <rPr>
        <sz val="9"/>
        <color rgb="FF000000"/>
        <rFont val="Arial"/>
        <family val="2"/>
      </rPr>
      <t>about 10 meters or more</t>
    </r>
    <r>
      <rPr>
        <sz val="9"/>
        <color rgb="FF000000"/>
        <rFont val="宋体"/>
        <family val="3"/>
        <charset val="134"/>
      </rPr>
      <t>，</t>
    </r>
    <r>
      <rPr>
        <sz val="9"/>
        <color rgb="FF000000"/>
        <rFont val="Arial"/>
        <family val="2"/>
      </rPr>
      <t>BT speaker will be disconnect with platform
2.Step 3</t>
    </r>
    <r>
      <rPr>
        <sz val="9"/>
        <color rgb="FF000000"/>
        <rFont val="宋体"/>
        <family val="3"/>
        <charset val="134"/>
      </rPr>
      <t>，</t>
    </r>
    <r>
      <rPr>
        <sz val="9"/>
        <color rgb="FF000000"/>
        <rFont val="Arial"/>
        <family val="2"/>
      </rPr>
      <t>BT speaker will reconnect with platform</t>
    </r>
  </si>
  <si>
    <t>测距case， 无法动态调整空间位置</t>
  </si>
  <si>
    <t>Summary（概要）
验证 BT 音箱超出范围断开后回到范围内自动重连（注：无法动态调整空间位置，标记为不可实现）。
Preconditions（前置条件/环境准备）
1. DUT 已与 BT 音箱配对。
2. 备注：无法调整空间位置，此用例不可自动化。
Steps（操作步骤）
Step 1：逐渐增加 BT 音箱与 DUT 的距离（约 10 米以上）
目的：模拟超出蓝牙范围。
对应函数：step_increase_bt_distance()
Step 2：逐渐减小距离回到范围内
目的：模拟重新进入范围。
对应函数：step_decrease_bt_distance()
Checks（检查点）
Check 1：超出范围后 BT 音箱断开连接
检查内容：确认距离超过约 10 米后音箱断连。
对应函数：check_bt_device_disconnected()
Check 2：回到范围内后自动重连
检查内容：确认距离缩短后 BT 音箱自动重连。
对应函数：check_bt_device_reconnected()</t>
  </si>
  <si>
    <t>[
    {
        "kind": "step",
        "function_name": "step_increase_bt_distance",
        "description": "增大 DUT 与 BT 设备距离超出蓝牙范围。",
        "category": "bt_headset",
        "tags": [
            "kind:step",
            "domain:bt_headset"
        ],
        "params": {},
        "pre_conditions": [],
        "post_conditions": []
    },
    {
        "kind": "step",
        "function_name": "step_decrease_bt_distance",
        "description": "减小距离回到蓝牙连接范围内。",
        "category": "bt_headset",
        "tags": [
            "kind:step",
            "domain:bt_headset"
        ],
        "params": {},
        "pre_conditions": [
            {
                "id": "step_increase_bt_distance",
                "type": "step",
                "reason": "先完成上一步操作"
            }
        ],
        "post_conditions": []
    },
    {
        "kind": "check",
        "function_name": "check_bt_device_disconnected",
        "description": "验证超出范围后蓝牙设备断连。",
        "category": "bt_headset",
        "tags": [
            "kind:check",
            "domain:bt_headset"
        ],
        "params": {},
        "pre_conditions": [
            {
                "id": "step_increase_bt_distance",
                "type": "step",
                "reason": "先完成上一步操作"
            }
        ],
        "post_conditions": []
    },
    {
        "kind": "check",
        "function_name": "check_bt_device_reconnected",
        "description": "验证回到范围内后蓝牙设备自动重连。",
        "category": "bt_headset",
        "tags": [
            "kind:check",
            "domain:bt_headset"
        ],
        "params": {},
        "pre_conditions": [
            {
                "id": "step_decrease_bt_distance",
                "type": "step",
                "reason": "先完成上一步操作"
            }
        ],
        "post_conditions": []
    }
]</t>
  </si>
  <si>
    <t>BT_Func_027</t>
  </si>
  <si>
    <t>Wifi&amp;BT devices work at the same time</t>
  </si>
  <si>
    <t>WIfi and BT speaker working at the same time</t>
  </si>
  <si>
    <t>Paired with BT headset and connect with an AP</t>
  </si>
  <si>
    <t>1.Paired with BT headset and connect with an AP
2.Play video online in wifi state</t>
  </si>
  <si>
    <t>The video plays normally and the sound is coming out from the BT headset</t>
  </si>
  <si>
    <t>Summary（概要）
验证 WiFi 在线播放视频时 BT 耳机音频正常，验证：WiFi 和 BT 同时工作时视频播放正常，音频从 BT 耳机输出。
Preconditions（前置条件/环境准备）
1. DUT 已与 BT 耳机配对并连接至 AP。
Steps（操作步骤）
Step 1：WiFi 状态下在线播放视频
目的：验证 WiFi + BT 同时工作的稳定性。
对应函数：step_play_online_video_with_bt_headset()
Checks（检查点）
Check 1：视频播放正常，BT 耳机音频正常
检查内容：确认 WiFi 和 BT 同时工作下视频流畅，音频从耳机正常输出。
对应函数：check_bt_headset_audio_output()</t>
  </si>
  <si>
    <t>[{"kind": "step", "function_name": "step_play_online_video_with_bt_headset", "description": "在 WiFi 连接状态下通过 BT 耳机播放在线视频。", "category": "bt_wifi_coexist", "tags": ["kind:step", "domain:bt_wifi_coexist"], "params": {"play_duration": {"name": "play_duration", "type": "int", "required": false, "default": 60, "description": "播放时长（秒）"}}, "pre_conditions": [], "post_conditions": []}, {"kind": "check", "function_name": "check_bt_headset_audio_output", "description": "验证 BT 耳机音频正常，WiFi 播放无中断。", "category": "bt_wifi_coexist", "tags": ["kind:check", "domain:bt_wifi_coexist"], "params": {}, "pre_conditions": [{"id": "step_play_online_video_with_bt_headset", "type": "step", "reason": "先完成上一步操作"}], "post_conditions": []}]</t>
  </si>
  <si>
    <t>BT_Func_028</t>
  </si>
  <si>
    <t>WIfi and transfer files at the same time</t>
  </si>
  <si>
    <t>Paired with mobile phone and connect with an AP</t>
  </si>
  <si>
    <t>1.Paired with BT headset and connect with an AP
2.Platform transfer files to mobile phone</t>
  </si>
  <si>
    <t>File transfer is normal</t>
  </si>
  <si>
    <t>需要手机配合,  替代方案:盒子收file</t>
  </si>
  <si>
    <t>Summary（概要）
验证 WiFi 连接状态下蓝牙文件传输正常，验证：WiFi 和 BT 文件传输同时工作无干扰。
Preconditions（前置条件/环境准备）
1. DUT 已与手机配对并连接至 AP（替代方案：DUT 向盒子传文件）。
Steps（操作步骤）
Step 1：WiFi 已连接，DUT 通过蓝牙向手机传输文件
目的：验证 WiFi 和 BT 共存时文件传输稳定性。
对应函数：step_send_bt_files_under_wifi()
Checks（检查点）
Check 1：文件传输正常完成
检查内容：确认 WiFi 和 BT 同时工作下文件传输成功，无数据损坏。
对应函数：check_bt_files_received()</t>
  </si>
  <si>
    <t>[{"kind": "step", "function_name": "step_send_bt_files_under_wifi", "description": "在 WiFi 连接状态下通过蓝牙传输文件。", "category": "bt_wifi_coexist", "tags": ["kind:step", "domain:bt_wifi_coexist"], "params": {"file_types": {"name": "file_types", "type": "str", "required": false, "default": "any", "description": "传输文件类型"}}, "pre_conditions": [], "post_conditions": []}, {"kind": "check", "function_name": "check_bt_files_received", "description": "验证文件传输完整，无数据错误。", "category": "bt_wifi_coexist", "tags": ["kind:check", "domain:bt_wifi_coexist"], "params": {}, "pre_conditions": [{"id": "step_send_bt_files_under_wifi", "type": "step", "reason": "先完成上一步操作"}], "post_conditions": []}]</t>
  </si>
  <si>
    <t>BT_Func_030</t>
  </si>
  <si>
    <t>Using YouTube playback video online after pairing Bluetooth speakers</t>
  </si>
  <si>
    <t>1.Paired with xiaomi BT speaker
2.The Digital Audio Format set to Auto</t>
  </si>
  <si>
    <t>1.Paired with xiaomi BT speaker
2.Open YouTube and playback video online
3.Power off BT speaker 
4.Power on BT speaker</t>
  </si>
  <si>
    <r>
      <rPr>
        <sz val="9"/>
        <rFont val="Arial"/>
        <family val="2"/>
      </rPr>
      <t>1.After step2</t>
    </r>
    <r>
      <rPr>
        <sz val="9"/>
        <rFont val="宋体"/>
        <family val="3"/>
        <charset val="134"/>
      </rPr>
      <t>，</t>
    </r>
    <r>
      <rPr>
        <sz val="9"/>
        <rFont val="Arial"/>
        <family val="2"/>
      </rPr>
      <t>the sound will come from BT speaker and smoothly
2.After step3</t>
    </r>
    <r>
      <rPr>
        <sz val="9"/>
        <rFont val="宋体"/>
        <family val="3"/>
        <charset val="134"/>
      </rPr>
      <t>，</t>
    </r>
    <r>
      <rPr>
        <sz val="9"/>
        <rFont val="Arial"/>
        <family val="2"/>
      </rPr>
      <t>the sound will come out from TV
3.After step4</t>
    </r>
    <r>
      <rPr>
        <sz val="9"/>
        <rFont val="宋体"/>
        <family val="3"/>
        <charset val="134"/>
      </rPr>
      <t>，</t>
    </r>
    <r>
      <rPr>
        <sz val="9"/>
        <rFont val="Arial"/>
        <family val="2"/>
      </rPr>
      <t>DUT will auto connect back and the sound will come out from BT speaker</t>
    </r>
  </si>
  <si>
    <t>Summary（概要）
验证配对 BT 音箱后通过 YouTube 在线播放视频音频正常，断电后切 TV 音频，重新上电后自动重连，验证：1. 音频从 BT 音箱正常输出；2. 音箱断电后切 TV；3. 音箱上电后自动重连。
Preconditions（前置条件/环境准备）
1. DUT 已与小米 BT 音箱配对，数字音频格式设置为 Auto，YouTube 已登录/可访问。
Steps（操作步骤）
Step 1：与 BT 音箱配对并打开 YouTube 在线播放视频
目的：建立 BT 音箱 + OTT 播放基准场景。
对应函数：step_play_ott_with_bt_speaker()
Step 2：关闭 BT 音箱电源
目的：模拟音箱断电，验证音频切换到 TV。
对应函数：step_power_off_bt_speaker()
Step 3：重新开启 BT 音箱
目的：验证音箱上电后自动重连。
对应函数：step_power_on_bt_speaker()
Checks（检查点）
Check 1：播放时音频从 BT 音箱正常输出
检查内容：确认 OTT 播放时音频从 BT 音箱流畅输出。
对应函数：check_bt_speaker_audio_output()
Check 2：音箱断电后音频切换至 TV
检查内容：确认断连后音频从 TV 输出。
对应函数：check_audio_output_from_tv()
Check 3：音箱上电后自动重连并切回音箱输出
检查内容：确认重连后音频恢复从 BT 音箱输出。
对应函数：check_bt_speaker_audio_output()</t>
  </si>
  <si>
    <t>[{"kind": "step", "function_name": "step_play_ott_with_bt_speaker", "description": "配对 BT 音箱后打开 YouTube 在线播放视频。", "category": "bt_speaker", "tags": ["kind:step", "domain:bt_speaker"], "params": {"app_name": {"name": "app_name", "type": "str", "required": true, "default": "YouTube", "description": "OTT 应用名称"}}, "pre_conditions": [], "post_conditions": []}, {"kind": "step", "function_name": "step_power_off_bt_speaker", "description": "关闭 BT 音箱电源。", "category": "bt_speaker", "tags": ["kind:step", "domain:bt_speaker"], "params": {}, "pre_conditions": [{"id": "step_play_ott_with_bt_speaker", "type": "step", "reason": "先完成上一步操作"}], "post_conditions": []}, {"kind": "step", "function_name": "step_power_on_bt_speaker", "description": "开启 BT 音箱电源。", "category": "bt_speaker", "tags": ["kind:step", "domain:bt_speaker"], "params": {}, "pre_conditions": [{"id": "step_power_off_bt_speaker", "type": "step", "reason": "先完成上一步操作"}], "post_conditions": []}, {"kind": "check", "function_name": "check_bt_speaker_audio_output", "description": "验证 BT 音箱音频输出正常流畅。", "category": "bt_speaker", "tags": ["kind:check", "domain:bt_speaker"], "params": {}, "pre_conditions": [{"id": "step_play_ott_with_bt_speaker", "type": "step", "reason": "先完成上一步操作"}], "post_conditions": []}, {"kind": "check", "function_name": "check_audio_output_from_tv", "description": "验证音箱断电后音频切换至 TV。", "category": "bt_speaker", "tags": ["kind:check", "domain:bt_speaker"], "params": {}, "pre_conditions": [{"id": "step_power_off_bt_speaker", "type": "step", "reason": "先完成上一步操作"}], "post_conditions": []}, {"kind": "check", "function_name": "check_bt_device_reconnected", "description": "验证音箱上电后自动重连。", "category": "bt_speaker", "tags": ["kind:check", "domain:bt_speaker"], "params": {}, "pre_conditions": [{"id": "step_power_on_bt_speaker", "type": "step", "reason": "先完成上一步操作"}], "post_conditions": []}]</t>
  </si>
  <si>
    <t>BT_Func_031</t>
  </si>
  <si>
    <t>Using Google play movie playback video online after pairing Bluetooth speakers</t>
  </si>
  <si>
    <t>1.Paired with xiaomi BT speaker
2.Open Google play movie  and playback video online
3.Power off BT speaker 
4.Power on BT speaker</t>
  </si>
  <si>
    <t>Summary（概要）
验证配对 BT 音箱后通过 Google Play Movie 在线播放视频音频正常，断电后切 TV 音频，重新上电后自动重连，验证：1. 音频从 BT 音箱正常输出；2. 音箱断电后切 TV；3. 音箱上电后自动重连。
Preconditions（前置条件/环境准备）
1. DUT 已与小米 BT 音箱配对，数字音频格式设置为 Auto，Google Play Movie 已登录/可访问。
Steps（操作步骤）
Step 1：与 BT 音箱配对并打开 Google Play Movie 在线播放视频
目的：建立 BT 音箱 + OTT 播放基准场景。
对应函数：step_play_ott_with_bt_speaker()
Step 2：关闭 BT 音箱电源
目的：模拟音箱断电，验证音频切换到 TV。
对应函数：step_power_off_bt_speaker()
Step 3：重新开启 BT 音箱
目的：验证音箱上电后自动重连。
对应函数：step_power_on_bt_speaker()
Checks（检查点）
Check 1：播放时音频从 BT 音箱正常输出
检查内容：确认 OTT 播放时音频从 BT 音箱流畅输出。
对应函数：check_bt_speaker_audio_output()
Check 2：音箱断电后音频切换至 TV
检查内容：确认断连后音频从 TV 输出。
对应函数：check_audio_output_from_tv()
Check 3：音箱上电后自动重连并切回音箱输出
检查内容：确认重连后音频恢复从 BT 音箱输出。
对应函数：check_bt_speaker_audio_output()</t>
  </si>
  <si>
    <t>[{"kind": "step", "function_name": "step_play_ott_with_bt_speaker", "description": "配对 BT 音箱后打开 Google Play Movie 在线播放视频。", "category": "bt_speaker", "tags": ["kind:step", "domain:bt_speaker"], "params": {"app_name": {"name": "app_name", "type": "str", "required": true, "default": "Google Play Movie", "description": "OTT 应用名称"}}, "pre_conditions": [], "post_conditions": []}, {"kind": "step", "function_name": "step_power_off_bt_speaker", "description": "关闭 BT 音箱电源。", "category": "bt_speaker", "tags": ["kind:step", "domain:bt_speaker"], "params": {}, "pre_conditions": [{"id": "step_play_ott_with_bt_speaker", "type": "step", "reason": "先完成上一步操作"}], "post_conditions": []}, {"kind": "step", "function_name": "step_power_on_bt_speaker", "description": "开启 BT 音箱电源。", "category": "bt_speaker", "tags": ["kind:step", "domain:bt_speaker"], "params": {}, "pre_conditions": [{"id": "step_power_off_bt_speaker", "type": "step", "reason": "先完成上一步操作"}], "post_conditions": []}, {"kind": "check", "function_name": "check_bt_speaker_audio_output", "description": "验证 BT 音箱音频输出正常流畅。", "category": "bt_speaker", "tags": ["kind:check", "domain:bt_speaker"], "params": {}, "pre_conditions": [{"id": "step_play_ott_with_bt_speaker", "type": "step", "reason": "先完成上一步操作"}], "post_conditions": []}, {"kind": "check", "function_name": "check_audio_output_from_tv", "description": "验证音箱断电后音频切换至 TV。", "category": "bt_speaker", "tags": ["kind:check", "domain:bt_speaker"], "params": {}, "pre_conditions": [{"id": "step_power_off_bt_speaker", "type": "step", "reason": "先完成上一步操作"}], "post_conditions": []}, {"kind": "check", "function_name": "check_bt_device_reconnected", "description": "验证音箱上电后自动重连。", "category": "bt_speaker", "tags": ["kind:check", "domain:bt_speaker"], "params": {}, "pre_conditions": [{"id": "step_power_on_bt_speaker", "type": "step", "reason": "先完成上一步操作"}], "post_conditions": []}]</t>
  </si>
  <si>
    <t>BT_Func_032</t>
  </si>
  <si>
    <t>Play video online after pairing Bluetooth speakers</t>
  </si>
  <si>
    <t>Using Netflix playback video online after pairing Bluetooth speakers</t>
  </si>
  <si>
    <t>1.Paired with xiaomi BT speaker
2.Open Netflix  and playback video online
3.Power off BT speaker 
4.Power on BT speaker</t>
  </si>
  <si>
    <t>Summary（概要）
验证配对 BT 音箱后通过 Netflix 在线播放视频音频正常，断电后切 TV 音频，重新上电后自动重连，验证：1. 音频从 BT 音箱正常输出；2. 音箱断电后切 TV；3. 音箱上电后自动重连。
Preconditions（前置条件/环境准备）
1. DUT 已与小米 BT 音箱配对，数字音频格式设置为 Auto，Netflix 已登录/可访问。
Steps（操作步骤）
Step 1：与 BT 音箱配对并打开 Netflix 在线播放视频
目的：建立 BT 音箱 + OTT 播放基准场景。
对应函数：step_play_ott_with_bt_speaker()
Step 2：关闭 BT 音箱电源
目的：模拟音箱断电，验证音频切换到 TV。
对应函数：step_power_off_bt_speaker()
Step 3：重新开启 BT 音箱
目的：验证音箱上电后自动重连。
对应函数：step_power_on_bt_speaker()
Checks（检查点）
Check 1：播放时音频从 BT 音箱正常输出
检查内容：确认 OTT 播放时音频从 BT 音箱流畅输出。
对应函数：check_bt_speaker_audio_output()
Check 2：音箱断电后音频切换至 TV
检查内容：确认断连后音频从 TV 输出。
对应函数：check_audio_output_from_tv()
Check 3：音箱上电后自动重连并切回音箱输出
检查内容：确认重连后音频恢复从 BT 音箱输出。
对应函数：check_bt_speaker_audio_output()</t>
  </si>
  <si>
    <t>[{"kind": "step", "function_name": "step_play_ott_with_bt_speaker", "description": "配对 BT 音箱后打开 Netflix 在线播放视频。", "category": "bt_speaker", "tags": ["kind:step", "domain:bt_speaker"], "params": {"app_name": {"name": "app_name", "type": "str", "required": true, "default": "Netflix", "description": "OTT 应用名称"}}, "pre_conditions": [], "post_conditions": []}, {"kind": "step", "function_name": "step_power_off_bt_speaker", "description": "关闭 BT 音箱电源。", "category": "bt_speaker", "tags": ["kind:step", "domain:bt_speaker"], "params": {}, "pre_conditions": [{"id": "step_play_ott_with_bt_speaker", "type": "step", "reason": "先完成上一步操作"}], "post_conditions": []}, {"kind": "step", "function_name": "step_power_on_bt_speaker", "description": "开启 BT 音箱电源。", "category": "bt_speaker", "tags": ["kind:step", "domain:bt_speaker"], "params": {}, "pre_conditions": [{"id": "step_power_off_bt_speaker", "type": "step", "reason": "先完成上一步操作"}], "post_conditions": []}, {"kind": "check", "function_name": "check_bt_speaker_audio_output", "description": "验证 BT 音箱音频输出正常流畅。", "category": "bt_speaker", "tags": ["kind:check", "domain:bt_speaker"], "params": {}, "pre_conditions": [{"id": "step_play_ott_with_bt_speaker", "type": "step", "reason": "先完成上一步操作"}], "post_conditions": []}, {"kind": "check", "function_name": "check_audio_output_from_tv", "description": "验证音箱断电后音频切换至 TV。", "category": "bt_speaker", "tags": ["kind:check", "domain:bt_speaker"], "params": {}, "pre_conditions": [{"id": "step_power_off_bt_speaker", "type": "step", "reason": "先完成上一步操作"}], "post_conditions": []}, {"kind": "check", "function_name": "check_bt_device_reconnected", "description": "验证音箱上电后自动重连。", "category": "bt_speaker", "tags": ["kind:check", "domain:bt_speaker"], "params": {}, "pre_conditions": [{"id": "step_power_on_bt_speaker", "type": "step", "reason": "先完成上一步操作"}], "post_conditions": []}]</t>
  </si>
  <si>
    <t>BT_Func_033</t>
  </si>
  <si>
    <t>Using Prime video playback video online after pairing Bluetooth speakers</t>
  </si>
  <si>
    <t>1.Paired with xiaomi BT speaker
2.Open Prime video and playback video online
3.Power off BT speaker 
4.Power on BT speaker</t>
  </si>
  <si>
    <t>Summary（概要）
验证配对 BT 音箱后通过 Prime Video 在线播放视频音频正常，断电后切 TV 音频，重新上电后自动重连，验证：1. 音频从 BT 音箱正常输出；2. 音箱断电后切 TV；3. 音箱上电后自动重连。
Preconditions（前置条件/环境准备）
1. DUT 已与小米 BT 音箱配对，数字音频格式设置为 Auto，Prime Video 已登录/可访问。
Steps（操作步骤）
Step 1：与 BT 音箱配对并打开 Prime Video 在线播放视频
目的：建立 BT 音箱 + OTT 播放基准场景。
对应函数：step_play_ott_with_bt_speaker()
Step 2：关闭 BT 音箱电源
目的：模拟音箱断电，验证音频切换到 TV。
对应函数：step_power_off_bt_speaker()
Step 3：重新开启 BT 音箱
目的：验证音箱上电后自动重连。
对应函数：step_power_on_bt_speaker()
Checks（检查点）
Check 1：播放时音频从 BT 音箱正常输出
检查内容：确认 OTT 播放时音频从 BT 音箱流畅输出。
对应函数：check_bt_speaker_audio_output()
Check 2：音箱断电后音频切换至 TV
检查内容：确认断连后音频从 TV 输出。
对应函数：check_audio_output_from_tv()
Check 3：音箱上电后自动重连并切回音箱输出
检查内容：确认重连后音频恢复从 BT 音箱输出。
对应函数：check_bt_speaker_audio_output()</t>
  </si>
  <si>
    <t>[{"kind": "step", "function_name": "step_play_ott_with_bt_speaker", "description": "配对 BT 音箱后打开 Prime Video 在线播放视频。", "category": "bt_speaker", "tags": ["kind:step", "domain:bt_speaker"], "params": {"app_name": {"name": "app_name", "type": "str", "required": true, "default": "Prime Video", "description": "OTT 应用名称"}}, "pre_conditions": [], "post_conditions": []}, {"kind": "step", "function_name": "step_power_off_bt_speaker", "description": "关闭 BT 音箱电源。", "category": "bt_speaker", "tags": ["kind:step", "domain:bt_speaker"], "params": {}, "pre_conditions": [{"id": "step_play_ott_with_bt_speaker", "type": "step", "reason": "先完成上一步操作"}], "post_conditions": []}, {"kind": "step", "function_name": "step_power_on_bt_speaker", "description": "开启 BT 音箱电源。", "category": "bt_speaker", "tags": ["kind:step", "domain:bt_speaker"], "params": {}, "pre_conditions": [{"id": "step_power_off_bt_speaker", "type": "step", "reason": "先完成上一步操作"}], "post_conditions": []}, {"kind": "check", "function_name": "check_bt_speaker_audio_output", "description": "验证 BT 音箱音频输出正常流畅。", "category": "bt_speaker", "tags": ["kind:check", "domain:bt_speaker"], "params": {}, "pre_conditions": [{"id": "step_play_ott_with_bt_speaker", "type": "step", "reason": "先完成上一步操作"}], "post_conditions": []}, {"kind": "check", "function_name": "check_audio_output_from_tv", "description": "验证音箱断电后音频切换至 TV。", "category": "bt_speaker", "tags": ["kind:check", "domain:bt_speaker"], "params": {}, "pre_conditions": [{"id": "step_power_off_bt_speaker", "type": "step", "reason": "先完成上一步操作"}], "post_conditions": []}, {"kind": "check", "function_name": "check_bt_device_reconnected", "description": "验证音箱上电后自动重连。", "category": "bt_speaker", "tags": ["kind:check", "domain:bt_speaker"], "params": {}, "pre_conditions": [{"id": "step_power_on_bt_speaker", "type": "step", "reason": "先完成上一步操作"}], "post_conditions": []}]</t>
  </si>
  <si>
    <t>BT_Func_035</t>
  </si>
  <si>
    <t>Using YouTube playback video online after pairing G20 BT remote</t>
  </si>
  <si>
    <t>1.Paired with G20 BT remote
2.The Digital Audio Format set to Auto</t>
  </si>
  <si>
    <t>1.Paired with G20 BT remote
2.Open YouTube and playback video online
3.Press the voice button on BT remote</t>
  </si>
  <si>
    <r>
      <rPr>
        <sz val="9"/>
        <rFont val="Arial"/>
        <family val="2"/>
      </rPr>
      <t>1.After step2</t>
    </r>
    <r>
      <rPr>
        <sz val="9"/>
        <rFont val="宋体"/>
        <family val="3"/>
        <charset val="134"/>
      </rPr>
      <t>，</t>
    </r>
    <r>
      <rPr>
        <sz val="9"/>
        <rFont val="Arial"/>
        <family val="2"/>
      </rPr>
      <t>the sound will come from TV
2.After step3</t>
    </r>
    <r>
      <rPr>
        <sz val="9"/>
        <rFont val="宋体"/>
        <family val="3"/>
        <charset val="134"/>
      </rPr>
      <t>，</t>
    </r>
    <r>
      <rPr>
        <sz val="9"/>
        <rFont val="Arial"/>
        <family val="2"/>
      </rPr>
      <t>it will call out the voice input interface, and the recording is normal;After recording</t>
    </r>
    <r>
      <rPr>
        <sz val="9"/>
        <rFont val="宋体"/>
        <family val="3"/>
        <charset val="134"/>
      </rPr>
      <t>，</t>
    </r>
    <r>
      <rPr>
        <sz val="9"/>
        <rFont val="Arial"/>
        <family val="2"/>
      </rPr>
      <t>the video continue playback</t>
    </r>
  </si>
  <si>
    <t>Voice 走GATT 私有协议</t>
  </si>
  <si>
    <t>Summary（概要）
验证配对 G20 BT 遥控器后通过 YouTube 在线播放并使用语音按键，验证：1. 视频正常播放音频从 TV 输出；2. 语音按键唤起语音输入界面；3. 录音正常后视频继续播放。（注：Voice 走 GATT 私有协议，多数情况下不可自动化。）
Preconditions（前置条件/环境准备）
1. DUT 已与 G20 BT 遥控器配对，数字音频格式设置为 Auto，YouTube 已可访问。
2. 备注：语音功能走 GATT 私有协议，相关步骤标记为不可自动化。
Steps（操作步骤）
Step 1：配对 G20 遥控器，打开 YouTube 播放视频
目的：建立 G20 + OTT 基准场景。
对应函数：step_play_ott_with_bt_remote()
Step 2：按下 G20 遥控器语音按键
目的：触发语音输入界面。
对应函数：step_press_bt_remote_voice_key()
Checks（检查点）
Check 1：视频播放时音频从 TV 输出
检查内容：确认未使用 BT 音箱时音频从 TV 正常输出。
对应函数：check_audio_output_from_tv()
Check 2：语音按键唤起语音输入界面，录音正常
检查内容：确认按下语音键后界面正确弹出，录音功能正常，结束后视频继续。
对应函数：check_bt_remote_voice_input_functional()</t>
  </si>
  <si>
    <t>[{"kind": "step", "function_name": "step_play_ott_with_bt_remote", "description": "配对 G20 遥控器后打开 YouTube 播放视频。", "category": "bt_remote", "tags": ["kind:step", "domain:bt_remote"], "params": {"app_name": {"name": "app_name", "type": "str", "required": true, "default": "YouTube", "description": "OTT 应用"}}, "pre_conditions": [], "post_conditions": []}, {"kind": "step", "function_name": "step_press_bt_remote_voice_key", "description": "按下 G20 BT 遥控器语音按键。", "category": "bt_remote", "tags": ["kind:step", "domain:bt_remote"], "params": {}, "pre_conditions": [{"id": "step_play_ott_with_bt_remote", "type": "step", "reason": "先完成上一步操作"}], "post_conditions": []}, {"kind": "check", "function_name": "check_audio_output_from_tv", "description": "验证视频播放时音频从 TV 正常输出。", "category": "bt_remote", "tags": ["kind:check", "domain:bt_remote"], "params": {}, "pre_conditions": [{"id": "step_play_ott_with_bt_remote", "type": "step", "reason": "先完成上一步操作"}], "post_conditions": []}, {"kind": "check", "function_name": "check_bt_remote_voice_input_functional", "description": "验证语音按键唤起语音输入界面且录音正常。", "category": "bt_remote", "tags": ["kind:check", "domain:bt_remote"], "params": {}, "pre_conditions": [{"id": "step_press_bt_remote_voice_key", "type": "step", "reason": "先完成上一步操作"}], "post_conditions": []}]</t>
  </si>
  <si>
    <t>BT_Func_036</t>
  </si>
  <si>
    <t>Using Google play movie playback video online after pairing G20 BT remote</t>
  </si>
  <si>
    <t>1.Paired with G20 BT remote
2.Open Google play movie  and playback video online
3.Press the voice button on BT remote</t>
  </si>
  <si>
    <t>无此应用</t>
  </si>
  <si>
    <t>Summary（概要）
验证配对 G20 BT 遥控器后通过 Google Play Movie 在线播放并使用语音按键，验证：1. 视频正常播放音频从 TV 输出；2. 语音按键唤起语音输入界面；3. 录音正常后视频继续播放。（注：Voice 走 GATT 私有协议，多数情况下不可自动化。）
Preconditions（前置条件/环境准备）
1. DUT 已与 G20 BT 遥控器配对，数字音频格式设置为 Auto，Google Play Movie 已可访问。
2. 备注：语音功能走 GATT 私有协议，相关步骤标记为不可自动化。
Steps（操作步骤）
Step 1：配对 G20 遥控器，打开 Google Play Movie 播放视频
目的：建立 G20 + OTT 基准场景。
对应函数：step_play_ott_with_bt_remote()
Step 2：按下 G20 遥控器语音按键
目的：触发语音输入界面。
对应函数：step_press_bt_remote_voice_key()
Checks（检查点）
Check 1：视频播放时音频从 TV 输出
检查内容：确认未使用 BT 音箱时音频从 TV 正常输出。
对应函数：check_audio_output_from_tv()
Check 2：语音按键唤起语音输入界面，录音正常
检查内容：确认按下语音键后界面正确弹出，录音功能正常，结束后视频继续。
对应函数：check_bt_remote_voice_input_functional()</t>
  </si>
  <si>
    <t>[{"kind": "step", "function_name": "step_play_ott_with_bt_remote", "description": "配对 G20 遥控器后打开 Google Play Movie 播放视频。", "category": "bt_remote", "tags": ["kind:step", "domain:bt_remote"], "params": {"app_name": {"name": "app_name", "type": "str", "required": true, "default": "Google Play Movie", "description": "OTT 应用"}}, "pre_conditions": [], "post_conditions": []}, {"kind": "step", "function_name": "step_press_bt_remote_voice_key", "description": "按下 G20 BT 遥控器语音按键。", "category": "bt_remote", "tags": ["kind:step", "domain:bt_remote"], "params": {}, "pre_conditions": [{"id": "step_play_ott_with_bt_remote", "type": "step", "reason": "先完成上一步操作"}], "post_conditions": []}, {"kind": "check", "function_name": "check_audio_output_from_tv", "description": "验证视频播放时音频从 TV 正常输出。", "category": "bt_remote", "tags": ["kind:check", "domain:bt_remote"], "params": {}, "pre_conditions": [{"id": "step_play_ott_with_bt_remote", "type": "step", "reason": "先完成上一步操作"}], "post_conditions": []}, {"kind": "check", "function_name": "check_bt_remote_voice_input_functional", "description": "验证语音按键唤起语音输入界面且录音正常。", "category": "bt_remote", "tags": ["kind:check", "domain:bt_remote"], "params": {}, "pre_conditions": [{"id": "step_press_bt_remote_voice_key", "type": "step", "reason": "先完成上一步操作"}], "post_conditions": []}]</t>
  </si>
  <si>
    <t>BT_Func_037</t>
  </si>
  <si>
    <t>Using Netflix playback video online after pairing G20 BT remote</t>
  </si>
  <si>
    <t>1.Paired with G20 BT remote
2.Open Netflix  and playback video online
3.Power off BT speaker 
4.Power on BT speaker</t>
  </si>
  <si>
    <t>Summary（概要）
验证配对 G20 BT 遥控器后通过 Netflix 在线播放并使用语音按键，验证：1. 视频正常播放音频从 TV 输出；2. 语音按键唤起语音输入界面；3. 录音正常后视频继续播放。（注：Voice 走 GATT 私有协议，多数情况下不可自动化。）
Preconditions（前置条件/环境准备）
1. DUT 已与 G20 BT 遥控器配对，数字音频格式设置为 Auto，Netflix 已可访问。
2. 备注：语音功能走 GATT 私有协议，相关步骤标记为不可自动化。
Steps（操作步骤）
Step 1：配对 G20 遥控器，打开 Netflix 播放视频
目的：建立 G20 + OTT 基准场景。
对应函数：step_play_ott_with_bt_remote()
Step 2：按下 G20 遥控器语音按键
目的：触发语音输入界面。
对应函数：step_press_bt_remote_voice_key()
Checks（检查点）
Check 1：视频播放时音频从 TV 输出
检查内容：确认未使用 BT 音箱时音频从 TV 正常输出。
对应函数：check_audio_output_from_tv()
Check 2：语音按键唤起语音输入界面，录音正常
检查内容：确认按下语音键后界面正确弹出，录音功能正常，结束后视频继续。
对应函数：check_bt_remote_voice_input_functional()</t>
  </si>
  <si>
    <t>[{"kind": "step", "function_name": "step_play_ott_with_bt_remote", "description": "配对 G20 遥控器后打开 Netflix 播放视频。", "category": "bt_remote", "tags": ["kind:step", "domain:bt_remote"], "params": {"app_name": {"name": "app_name", "type": "str", "required": true, "default": "Netflix", "description": "OTT 应用"}}, "pre_conditions": [], "post_conditions": []}, {"kind": "step", "function_name": "step_press_bt_remote_voice_key", "description": "按下 G20 BT 遥控器语音按键。", "category": "bt_remote", "tags": ["kind:step", "domain:bt_remote"], "params": {}, "pre_conditions": [{"id": "step_play_ott_with_bt_remote", "type": "step", "reason": "先完成上一步操作"}], "post_conditions": []}, {"kind": "check", "function_name": "check_audio_output_from_tv", "description": "验证视频播放时音频从 TV 正常输出。", "category": "bt_remote", "tags": ["kind:check", "domain:bt_remote"], "params": {}, "pre_conditions": [{"id": "step_play_ott_with_bt_remote", "type": "step", "reason": "先完成上一步操作"}], "post_conditions": []}, {"kind": "check", "function_name": "check_bt_remote_voice_input_functional", "description": "验证语音按键唤起语音输入界面且录音正常。", "category": "bt_remote", "tags": ["kind:check", "domain:bt_remote"], "params": {}, "pre_conditions": [{"id": "step_press_bt_remote_voice_key", "type": "step", "reason": "先完成上一步操作"}], "post_conditions": []}]</t>
  </si>
  <si>
    <t>BT_Func_038</t>
  </si>
  <si>
    <t>Using Prime video playback video online after pairing G20 BT remote</t>
  </si>
  <si>
    <t>1.Paired with G20 BT remote
2.Open Prime video and playback video online
3.Press the voice button on BT remote</t>
  </si>
  <si>
    <r>
      <rPr>
        <sz val="9"/>
        <color rgb="FF000000"/>
        <rFont val="Arial"/>
      </rPr>
      <t>1.After step2</t>
    </r>
    <r>
      <rPr>
        <sz val="9"/>
        <color rgb="FF000000"/>
        <rFont val="宋体"/>
      </rPr>
      <t>，</t>
    </r>
    <r>
      <rPr>
        <sz val="9"/>
        <color rgb="FF000000"/>
        <rFont val="Arial"/>
      </rPr>
      <t>the sound will come from BT speaker and smoothly
2.After step3</t>
    </r>
    <r>
      <rPr>
        <sz val="9"/>
        <color rgb="FF000000"/>
        <rFont val="宋体"/>
      </rPr>
      <t>，</t>
    </r>
    <r>
      <rPr>
        <sz val="9"/>
        <color rgb="FF000000"/>
        <rFont val="Arial"/>
      </rPr>
      <t>it will call out the voice input interface, and the recording is normal;After recording</t>
    </r>
    <r>
      <rPr>
        <sz val="9"/>
        <color rgb="FF000000"/>
        <rFont val="宋体"/>
      </rPr>
      <t>，</t>
    </r>
    <r>
      <rPr>
        <sz val="9"/>
        <color rgb="FF000000"/>
        <rFont val="Arial"/>
      </rPr>
      <t>the video continue playback</t>
    </r>
  </si>
  <si>
    <t>Summary（概要）
验证配对 G20 BT 遥控器后通过 Prime Video 在线播放并使用语音按键，验证：1. 视频正常播放音频从 TV 输出；2. 语音按键唤起语音输入界面；3. 录音正常后视频继续播放。（注：Voice 走 GATT 私有协议，多数情况下不可自动化。）
Preconditions（前置条件/环境准备）
1. DUT 已与 G20 BT 遥控器配对，数字音频格式设置为 Auto，Prime Video 已可访问。
2. 备注：语音功能走 GATT 私有协议，相关步骤标记为不可自动化。
Steps（操作步骤）
Step 1：配对 G20 遥控器，打开 Prime Video 播放视频
目的：建立 G20 + OTT 基准场景。
对应函数：step_play_ott_with_bt_remote()
Step 2：按下 G20 遥控器语音按键
目的：触发语音输入界面。
对应函数：step_press_bt_remote_voice_key()
Checks（检查点）
Check 1：视频播放时音频从 TV 输出
检查内容：确认未使用 BT 音箱时音频从 TV 正常输出。
对应函数：check_audio_output_from_tv()
Check 2：语音按键唤起语音输入界面，录音正常
检查内容：确认按下语音键后界面正确弹出，录音功能正常，结束后视频继续。
对应函数：check_bt_remote_voice_input_functional()</t>
  </si>
  <si>
    <t>[{"kind": "step", "function_name": "step_play_ott_with_bt_remote", "description": "配对 G20 遥控器后打开 Prime Video 播放视频。", "category": "bt_remote", "tags": ["kind:step", "domain:bt_remote"], "params": {"app_name": {"name": "app_name", "type": "str", "required": true, "default": "Prime Video", "description": "OTT 应用"}}, "pre_conditions": [], "post_conditions": []}, {"kind": "step", "function_name": "step_press_bt_remote_voice_key", "description": "按下 G20 BT 遥控器语音按键。", "category": "bt_remote", "tags": ["kind:step", "domain:bt_remote"], "params": {}, "pre_conditions": [{"id": "step_play_ott_with_bt_remote", "type": "step", "reason": "先完成上一步操作"}], "post_conditions": []}, {"kind": "check", "function_name": "check_audio_output_from_tv", "description": "验证视频播放时音频从 TV 正常输出。", "category": "bt_remote", "tags": ["kind:check", "domain:bt_remote"], "params": {}, "pre_conditions": [{"id": "step_play_ott_with_bt_remote", "type": "step", "reason": "先完成上一步操作"}], "post_conditions": []}, {"kind": "check", "function_name": "check_bt_remote_voice_input_functional", "description": "验证语音按键唤起语音输入界面且录音正常。", "category": "bt_remote", "tags": ["kind:check", "domain:bt_remote"], "params": {}, "pre_conditions": [{"id": "step_press_bt_remote_voice_key", "type": "step", "reason": "先完成上一步操作"}], "post_conditions": []}]</t>
  </si>
  <si>
    <t>BT_Func_040</t>
  </si>
  <si>
    <t>BT device have disconnect reboot the DUT</t>
  </si>
  <si>
    <t>BT device have disconnect when resume the DUT</t>
  </si>
  <si>
    <t>1.DUT pair with xiaomi BT headset</t>
  </si>
  <si>
    <t>1.DUT pair with xiaomi BT headsetr
2..Suspend the DUT
3.Put the earphones into the earphone compartment
4.After 30s resume the DUT</t>
  </si>
  <si>
    <t>When DUT boot up,it not display the BT headset  connect/disconnect prompt</t>
  </si>
  <si>
    <t>Summary（概要）
验证 DUT 待机期间将耳机放入耳机仓后唤醒时不显示多余的连接/断开提示，验证：唤醒后界面无多余 BT 提示弹窗。
Preconditions（前置条件/环境准备）
1. DUT 已与小米 BT 耳机配对。
Steps（操作步骤）
Step 1：DUT 进入待机状态
目的：进入低功耗待机。
对应函数：step_enter_standby()
Step 2：将耳机放入耳机仓（触发断连）
目的：模拟用户收纳耳机。
对应函数：step_put_headset_in_case()
Step 3：等待 30 秒后唤醒 DUT
目的：验证唤醒后 BT 状态提示正常。
对应函数：step_wakeup_dut()
Checks（检查点）
Check 1：唤醒后无 BT 连接/断开提示弹窗
检查内容：确认 DUT 唤醒后界面无多余 BT 状态提示。
对应函数：check_no_bt_popup_on_resume()</t>
  </si>
  <si>
    <t>[{"kind": "step", "function_name": "step_enter_standby", "description": "DUT 进入待机状态。", "category": "bt_headset", "tags": ["kind:step", "domain:bt_headset"], "params": {}, "pre_conditions": [], "post_conditions": []}, {"kind": "step", "function_name": "step_put_headset_in_case", "description": "将蓝牙耳机放入耳机仓触发断连。", "category": "bt_headset", "tags": ["kind:step", "domain:bt_headset"], "params": {}, "pre_conditions": [{"id": "step_enter_standby", "type": "step", "reason": "先完成上一步操作"}], "post_conditions": []}, {"kind": "step", "function_name": "step_wakeup_dut", "description": "唤醒 DUT。", "category": "bt_headset", "tags": ["kind:step", "domain:bt_headset"], "params": {"wait_before_wake": {"name": "wait_before_wake", "type": "int", "required": false, "default": 30, "description": "唤醒前等待秒数"}}, "pre_conditions": [{"id": "step_put_headset_in_case", "type": "step", "reason": "先完成上一步操作"}], "post_conditions": []}, {"kind": "check", "function_name": "check_no_bt_popup_on_resume", "description": "验证 DUT 唤醒后无 BT 连接/断开提示弹窗。", "category": "bt_headset", "tags": ["kind:check", "domain:bt_headset"], "params": {}, "pre_conditions": [{"id": "step_wakeup_dut", "type": "step", "reason": "先完成上一步操作"}], "post_conditions": []}]</t>
  </si>
  <si>
    <t>BT_Func_045</t>
  </si>
  <si>
    <t>BT remote Pairing</t>
  </si>
  <si>
    <t>At settings</t>
  </si>
  <si>
    <t>G20  BT remote</t>
  </si>
  <si>
    <t>1.At BT list interface Press the home button + back button on G20 BT remote
2.Pair with platform about 10 times</t>
  </si>
  <si>
    <t>1.Enter the pairing status and can be searched by the platform
2.Can be paired successfully, and the remote control can be used normally</t>
  </si>
  <si>
    <t>Summary（概要）
验证在蓝牙设备列表界面多次配对 G20 BT 遥控器（约 10 次）均能成功，验证：1. 每次均能进入配对状态并被搜索到；2. 每次配对成功且遥控器功能正常。
Preconditions（前置条件/环境准备）
1. G20 BT 遥控器可用，DUT 处于蓝牙设备列表界面。
Steps（操作步骤）
Step 1：G20 长按 Home+Back 发起配对广播
目的：启动 G20 配对流程。
对应函数：step_trigger_g20_pairing_broadcast()
Step 2：DUT 在蓝牙列表界面搜索并配对 G20
目的：完成一次配对循环。
对应函数：step_pair_bt_remote_g20()
Checks（检查点）
Check 1：G20 进入配对状态并被 DUT 搜索到
检查内容：确认每次广播后 DUT 能扫描到 G20。
对应函数：check_bt_scan_results_not_empty()
Check 2：配对成功且遥控器功能正常（重复 10 次）
检查内容：确认所有配对尝试均成功，遥控器按键有效。
对应函数：check_bt_remote_keys_functional()</t>
  </si>
  <si>
    <t>[{"kind": "step", "function_name": "step_trigger_g20_pairing_broadcast", "description": "G20 遥控器长按 Home+Back 进入配对广播。", "category": "bt_remote_pairing", "tags": ["kind:step", "domain:bt_remote_pairing"], "params": {"repeat_count": {"name": "repeat_count", "type": "int", "required": false, "default": 10, "description": "配对重复次数"}}, "pre_conditions": [], "post_conditions": []}, {"kind": "step", "function_name": "step_pair_bt_remote_g20", "description": "DUT 搜索并完成 G20 配对。", "category": "bt_remote_pairing", "tags": ["kind:step", "domain:bt_remote_pairing"], "params": {}, "pre_conditions": [{"id": "step_trigger_g20_pairing_broadcast", "type": "step", "reason": "先完成上一步操作"}], "post_conditions": []}, {"kind": "check", "function_name": "check_bt_scan_results_not_empty", "description": "验证 G20 出现在扫描列表中。", "category": "bt_remote_pairing", "tags": ["kind:check", "domain:bt_remote_pairing"], "params": {}, "pre_conditions": [{"id": "step_trigger_g20_pairing_broadcast", "type": "step", "reason": "先完成上一步操作"}], "post_conditions": []}, {"kind": "check", "function_name": "check_bt_remote_keys_functional", "description": "验证 G20 配对成功且按键功能正常。", "category": "bt_remote_pairing", "tags": ["kind:check", "domain:bt_remote_pairing"], "params": {}, "pre_conditions": [{"id": "step_pair_bt_remote_g20", "type": "step", "reason": "先完成上一步操作"}], "post_conditions": []}]</t>
  </si>
  <si>
    <t>BT_Func_046</t>
  </si>
  <si>
    <t>At boot wizard interface</t>
  </si>
  <si>
    <t>1.DUT factory reset or upgrade  to boot up
2.At boot wizard interface,Press the home button + back button on G20 BT remote</t>
  </si>
  <si>
    <t>G20 BT remote can pair success within 5s</t>
  </si>
  <si>
    <t>Summary（概要）
验证在开机向导界面能与 G20 BT 遥控器在 5 秒内完成配对，验证：5 秒内配对成功。
Preconditions（前置条件/环境准备）
1. DUT 已恢复出厂设置或刚完成固件升级，处于开机向导界面。
Steps（操作步骤）
Step 1：DUT 进入开机向导，G20 长按 Home+Back 发起配对
目的：在开机向导阶段触发快速配对。
对应函数：step_pair_g20_at_boot_wizard()
Checks（检查点）
Check 1：5 秒内 G20 配对成功
检查内容：确认配对完成耗时 ≤ 5 秒。
对应函数：check_bt_pairing_within_5s()</t>
  </si>
  <si>
    <t>[{"kind": "step", "function_name": "step_pair_g20_at_boot_wizard", "description": "在开机向导界面触发并完成 G20 BT 遥控器配对。", "category": "bt_remote_pairing", "tags": ["kind:step", "domain:bt_remote_pairing"], "params": {}, "pre_conditions": [], "post_conditions": []}, {"kind": "check", "function_name": "check_bt_pairing_within_5s", "description": "验证 G20 在开机向导阶段 5 秒内完成配对。", "category": "bt_remote_pairing", "tags": ["kind:check", "domain:bt_remote_pairing"], "params": {"timeout_sec": {"name": "timeout_sec", "type": "int", "required": false, "default": 5, "description": "配对超时阈值（秒）"}}, "pre_conditions": [{"id": "step_pair_g20_at_boot_wizard", "type": "step", "reason": "先完成上一步操作"}], "post_conditions": []}]</t>
  </si>
  <si>
    <t>BT_Func_047</t>
  </si>
  <si>
    <t>At home interface</t>
  </si>
  <si>
    <t>1.DUT  at home interface
2.Press voice button on G20 BT remote
3.Press the home button + back button on G20 BT remote</t>
  </si>
  <si>
    <t>1.After step2,it pop up Microphone not available and click pair now
2.G20 BT remote can pair success within 5s</t>
  </si>
  <si>
    <t>Summary（概要）
验证在主界面按语音键弹出配对提示后点击立即配对能完成 G20 配对（注：Voice 走 GATT 私有协议，标记为不可自动化），验证：5 秒内配对成功。
Preconditions（前置条件/环境准备）
1. DUT 处于主界面，G20 BT 遥控器未配对。
2. 备注：Voice 走 GATT 私有协议，此步骤不可自动化。
Steps（操作步骤）
Step 1：按 G20 语音键弹出麦克风不可用提示，点击立即配对
目的：通过语音按键触发配对流程。
对应函数：step_pair_g20_via_voice_key()
Step 2：G20 长按 Home+Back 完成配对
目的：配合 G20 完成配对握手。
对应函数：step_trigger_g20_pairing_broadcast()
Checks（检查点）
Check 1：G20 在 5 秒内配对成功
检查内容：确认整个流程 5 秒内完成配对。
对应函数：check_bt_pairing_within_5s()</t>
  </si>
  <si>
    <t>[{"kind": "step", "function_name": "step_pair_g20_via_voice_key", "description": "按 G20 语音键触发配对提示并点击立即配对。", "category": "bt_remote_pairing", "tags": ["kind:step", "domain:bt_remote_pairing"], "params": {}, "pre_conditions": [], "post_conditions": []}, {"kind": "step", "function_name": "step_trigger_g20_pairing_broadcast", "description": "G20 长按 Home+Back 进入广播配对状态。", "category": "bt_remote_pairing", "tags": ["kind:step", "domain:bt_remote_pairing"], "params": {}, "pre_conditions": [{"id": "step_pair_g20_via_voice_key", "type": "step", "reason": "先完成上一步操作"}], "post_conditions": []}, {"kind": "check", "function_name": "check_bt_pairing_within_5s", "description": "验证 G20 在 5 秒内配对成功。", "category": "bt_remote_pairing", "tags": ["kind:check", "domain:bt_remote_pairing"], "params": {"timeout_sec": {"name": "timeout_sec", "type": "int", "required": false, "default": 5, "description": "配对阈值（秒）"}}, "pre_conditions": [{"id": "step_trigger_g20_pairing_broadcast", "type": "step", "reason": "先完成上一步操作"}], "post_conditions": []}]</t>
  </si>
  <si>
    <t>BT_Func_049</t>
  </si>
  <si>
    <t>Repairing</t>
  </si>
  <si>
    <t>Paired with G20 BT remote</t>
  </si>
  <si>
    <t>1.Paired with BT remote control
2.Reboot the platform 
3.After restart press any key on the BT remote control</t>
  </si>
  <si>
    <t>It will be paired successfully, and the remote control can be used normally</t>
  </si>
  <si>
    <t>Summary（概要）
验证 DUT 重启后按任意键 G20 遥控器能自动重配对并正常使用，验证：重启后遥控器功能正常。
Preconditions（前置条件/环境准备）
1. DUT 已与 G20 BT 遥控器配对。
Steps（操作步骤）
Step 1：重启 DUT
目的：触发重启，测试重配对流程。
对应函数：step_reboot_dut()
Step 2：DUT 启动后按任意键
目的：触发 G20 自动重连/重配对。
对应函数：step_press_any_key_on_bt_remote()
Checks（检查点）
Check 1：G20 配对成功且功能正常
检查内容：确认重启后 G20 遥控器重配对成功，按键有效。
对应函数：check_bt_remote_keys_functional()</t>
  </si>
  <si>
    <t>[{"kind": "step", "function_name": "step_reboot_dut", "description": "重启 DUT。", "category": "bt_remote_pairing", "tags": ["kind:step", "domain:bt_remote_pairing"], "params": {}, "pre_conditions": [], "post_conditions": []}, {"kind": "step", "function_name": "step_press_any_key_on_bt_remote", "description": "DUT 重启完成后按 G20 任意键。", "category": "bt_remote_pairing", "tags": ["kind:step", "domain:bt_remote_pairing"], "params": {}, "pre_conditions": [{"id": "step_reboot_dut", "type": "step", "reason": "先完成上一步操作"}], "post_conditions": []}, {"kind": "check", "function_name": "check_bt_remote_keys_functional", "description": "验证重启后 G20 遥控器配对成功且功能正常。", "category": "bt_remote_pairing", "tags": ["kind:check", "domain:bt_remote_pairing"], "params": {}, "pre_conditions": [{"id": "step_press_any_key_on_bt_remote", "type": "step", "reason": "先完成上一步操作"}], "post_conditions": []}]</t>
  </si>
  <si>
    <t>BT_Func_050</t>
  </si>
  <si>
    <t>After shutdown unpairing</t>
  </si>
  <si>
    <t>1.Paired with BT remote
2.Platform shut down 
3.Press the home and back button about 3s to unpair
4.Boot the platform and press and hold the home and back button for 3s pairing.</t>
  </si>
  <si>
    <t>Pairing is successful and the Bluetooth remote control function is normal</t>
  </si>
  <si>
    <t>Summary（概要）
验证 DUT 关机状态下解除 G20 配对后重新上电并重新配对功能正常，验证：重新配对成功且遥控器功能正常。
Preconditions（前置条件/环境准备）
1. DUT 已与 G20 BT 遥控器配对。
Steps（操作步骤）
Step 1：DUT 关机，G20 长按 Home+Back 约 3 秒解除配对
目的：解除配对关系。
对应函数：step_unpair_g20_while_dut_off()
Step 2：DUT 开机，G20 再次长按 Home+Back 3 秒重新配对
目的：重新完成配对流程。
对应函数：step_pair_bt_remote_g20()
Checks（检查点）
Check 1：重新配对成功且遥控器功能正常
检查内容：确认重新配对后 G20 按键全部有效。
对应函数：check_bt_remote_keys_functional()</t>
  </si>
  <si>
    <t>[{"kind": "step", "function_name": "step_unpair_g20_while_dut_off", "description": "DUT 关机状态下 G20 解除配对。", "category": "bt_remote_pairing", "tags": ["kind:step", "domain:bt_remote_pairing"], "params": {}, "pre_conditions": [], "post_conditions": []}, {"kind": "step", "function_name": "step_pair_bt_remote_g20", "description": "DUT 开机后重新配对 G20。", "category": "bt_remote_pairing", "tags": ["kind:step", "domain:bt_remote_pairing"], "params": {}, "pre_conditions": [{"id": "step_unpair_g20_while_dut_off", "type": "step", "reason": "先完成上一步操作"}], "post_conditions": []}, {"kind": "check", "function_name": "check_bt_remote_keys_functional", "description": "验证重新配对后 G20 功能正常。", "category": "bt_remote_pairing", "tags": ["kind:check", "domain:bt_remote_pairing"], "params": {}, "pre_conditions": [{"id": "step_pair_bt_remote_g20", "type": "step", "reason": "先完成上一步操作"}], "post_conditions": []}]</t>
  </si>
  <si>
    <t>BT_Func_051</t>
  </si>
  <si>
    <t>remote</t>
  </si>
  <si>
    <t>Back button</t>
  </si>
  <si>
    <t>1.Paired with BT remote
2.Press the back button in the secondary menu</t>
  </si>
  <si>
    <t>Can return to the previous interface</t>
  </si>
  <si>
    <t>Summary（概要）
验证 G20 BT 遥控器返回键功能正常，验证：按返回键可返回上一级界面。
Preconditions（前置条件/环境准备）
1. DUT 已与 G20 BT 遥控器成功配对。
Steps（操作步骤）
Step 1：按下 G20 遥控器返回键
目的：验证返回键响应。
对应函数：step_press_bt_remote_back()
Checks（检查点）
Check 1：返回键响应正常
检查内容：按返回键可返回上一级界面。
对应函数：check_ui_navigated_back()</t>
  </si>
  <si>
    <t>[{"kind": "step", "function_name": "step_press_bt_remote_back", "description": "按下 G20 遥控器返回键。", "category": "bt_remote", "tags": ["kind:step", "domain:bt_remote"], "params": {}, "pre_conditions": [], "post_conditions": []}, {"kind": "check", "function_name": "check_ui_navigated_back", "description": "验证 G20 遥控器返回键功能正常。", "category": "bt_remote", "tags": ["kind:check", "domain:bt_remote"], "params": {}, "pre_conditions": [{"id": "step_press_bt_remote_back", "type": "step", "reason": "先完成上一步操作"}], "post_conditions": []}]</t>
  </si>
  <si>
    <t>BT_Func_052</t>
  </si>
  <si>
    <t>Home button</t>
  </si>
  <si>
    <t>1.Paired with BT remote
2.Press home button</t>
  </si>
  <si>
    <t>Press the home button on any interface to return to the home page.</t>
  </si>
  <si>
    <t>Summary（概要）
验证 G20 BT 遥控器Home 键功能正常，验证：在任意界面按 Home 键均可返回主页。
Preconditions（前置条件/环境准备）
1. DUT 已与 G20 BT 遥控器成功配对。
Steps（操作步骤）
Step 1：按下 G20 遥控器Home 键
目的：验证Home 键响应。
对应函数：step_press_bt_remote_home()
Checks（检查点）
Check 1：Home 键响应正常
检查内容：在任意界面按 Home 键均可返回主页。
对应函数：check_ui_at_home()</t>
  </si>
  <si>
    <t>[{"kind": "step", "function_name": "step_press_bt_remote_home", "description": "按下 G20 遥控器Home 键。", "category": "bt_remote", "tags": ["kind:step", "domain:bt_remote"], "params": {}, "pre_conditions": [], "post_conditions": []}, {"kind": "check", "function_name": "check_ui_at_home", "description": "验证 G20 遥控器Home 键功能正常。", "category": "bt_remote", "tags": ["kind:check", "domain:bt_remote"], "params": {}, "pre_conditions": [{"id": "step_press_bt_remote_home", "type": "step", "reason": "先完成上一步操作"}], "post_conditions": []}]</t>
  </si>
  <si>
    <t>BT_Func_053</t>
  </si>
  <si>
    <t>Direction button</t>
  </si>
  <si>
    <t>1.Paired with BT remote
2.In any interface, short press / long press four direction keys</t>
  </si>
  <si>
    <t>Can respond normally</t>
  </si>
  <si>
    <t>Summary（概要）
验证 G20 BT 遥控器方向键（短按/长按）功能正常，验证：四方向键短按和长按均能正常响应。
Preconditions（前置条件/环境准备）
1. DUT 已与 G20 BT 遥控器成功配对。
Steps（操作步骤）
Step 1：按下 G20 遥控器方向键（短按/长按）
目的：验证方向键（短按/长按）响应。
对应函数：step_press_bt_remote_dpad()
Checks（检查点）
Check 1：方向键（短按/长按）响应正常
检查内容：四方向键短按和长按均能正常响应。
对应函数：check_bt_remote_key_response()</t>
  </si>
  <si>
    <t>[{"kind": "step", "function_name": "step_press_bt_remote_dpad", "description": "按下 G20 遥控器方向键（短按/长按）。", "category": "bt_remote", "tags": ["kind:step", "domain:bt_remote"], "params": {}, "pre_conditions": [], "post_conditions": []}, {"kind": "check", "function_name": "check_bt_remote_key_response", "description": "验证 G20 遥控器方向键（短按/长按）功能正常。", "category": "bt_remote", "tags": ["kind:check", "domain:bt_remote"], "params": {}, "pre_conditions": [{"id": "step_press_bt_remote_dpad", "type": "step", "reason": "先完成上一步操作"}], "post_conditions": []}]</t>
  </si>
  <si>
    <t>BT_Func_054</t>
  </si>
  <si>
    <t>OK button</t>
  </si>
  <si>
    <t>1.Paired with BT remote
2.In any interface, press OK</t>
  </si>
  <si>
    <t>Confirm selected item</t>
  </si>
  <si>
    <t>检测volume， 走log 检测</t>
  </si>
  <si>
    <t>Summary（概要）
验证 G20 BT 遥控器OK 键功能正常，验证：OK 键可确认当前选中项。
Preconditions（前置条件/环境准备）
1. DUT 已与 G20 BT 遥控器成功配对。
Steps（操作步骤）
Step 1：按下 G20 遥控器OK 键
目的：验证OK 键响应。
对应函数：step_press_bt_remote_ok()
Checks（检查点）
Check 1：OK 键响应正常
检查内容：OK 键可确认当前选中项。
对应函数：check_bt_remote_key_response()</t>
  </si>
  <si>
    <t>[{"kind": "step", "function_name": "step_press_bt_remote_ok", "description": "按下 G20 遥控器OK 键。", "category": "bt_remote", "tags": ["kind:step", "domain:bt_remote"], "params": {}, "pre_conditions": [], "post_conditions": []}, {"kind": "check", "function_name": "check_bt_remote_key_response", "description": "验证 G20 遥控器OK 键功能正常。", "category": "bt_remote", "tags": ["kind:check", "domain:bt_remote"], "params": {}, "pre_conditions": [{"id": "step_press_bt_remote_ok", "type": "step", "reason": "先完成上一步操作"}], "post_conditions": []}]</t>
  </si>
  <si>
    <t>BT_Func_055</t>
  </si>
  <si>
    <t>Mute button</t>
  </si>
  <si>
    <t>1.Paired with BT remote
2.Open mediaplay and playback local video
3.Press mute key on G20</t>
  </si>
  <si>
    <t>The volume will mute and have no sound come out</t>
  </si>
  <si>
    <t>Summary（概要）
验证 G20 BT 遥控器静音键功能正常，验证：按静音键后音量变为 0，无声音输出。
Preconditions（前置条件/环境准备）
1. DUT 已与 G20 BT 遥控器成功配对。
Steps（操作步骤）
Step 1：按下 G20 遥控器静音键
目的：验证静音键响应。
对应函数：step_press_bt_remote_mute()
Checks（检查点）
Check 1：静音键响应正常
检查内容：按静音键后音量变为 0，无声音输出。
对应函数：check_volume_muted()</t>
  </si>
  <si>
    <t>[{"kind": "step", "function_name": "step_press_bt_remote_mute", "description": "按下 G20 遥控器静音键。", "category": "bt_remote", "tags": ["kind:step", "domain:bt_remote"], "params": {}, "pre_conditions": [], "post_conditions": []}, {"kind": "check", "function_name": "check_volume_muted", "description": "验证 G20 遥控器静音键功能正常。", "category": "bt_remote", "tags": ["kind:check", "domain:bt_remote"], "params": {}, "pre_conditions": [{"id": "step_press_bt_remote_mute", "type": "step", "reason": "先完成上一步操作"}], "post_conditions": []}]</t>
  </si>
  <si>
    <t>BT_Func_056</t>
  </si>
  <si>
    <t>Voice button</t>
  </si>
  <si>
    <r>
      <rPr>
        <sz val="9"/>
        <rFont val="Arial"/>
        <family val="2"/>
      </rPr>
      <t>1.Paired with BT remote
2.Press the voice button on the remote to speak and voice search</t>
    </r>
    <r>
      <rPr>
        <sz val="9"/>
        <rFont val="宋体"/>
        <family val="3"/>
        <charset val="134"/>
      </rPr>
      <t>（</t>
    </r>
    <r>
      <rPr>
        <sz val="9"/>
        <rFont val="Arial"/>
        <family val="2"/>
      </rPr>
      <t>On GTVS code</t>
    </r>
    <r>
      <rPr>
        <sz val="9"/>
        <rFont val="宋体"/>
        <family val="3"/>
        <charset val="134"/>
      </rPr>
      <t>）</t>
    </r>
  </si>
  <si>
    <t>Turn on voice search and make a corresponding jump</t>
  </si>
  <si>
    <t>Summary（概要）
验证 G20 BT 遥控器语音键功能正常，验证：按语音键开启语音搜索并跳转。（Voice 走 GATT 私有协议，不可自动化）
Preconditions（前置条件/环境准备）
1. DUT 已与 G20 BT 遥控器成功配对。
Steps（操作步骤）
Step 1：按下 G20 遥控器语音键
目的：验证语音键响应。
对应函数：step_press_bt_remote_voice_key()
Checks（检查点）
Check 1：语音键响应正常
检查内容：按语音键开启语音搜索并跳转。（Voice 走 GATT 私有协议，不可自动化）
对应函数：check_voice_search_launched()</t>
  </si>
  <si>
    <t>[{"kind": "step", "function_name": "step_press_bt_remote_voice_key", "description": "按下 G20 遥控器语音键。", "category": "bt_remote", "tags": ["kind:step", "domain:bt_remote"], "params": {}, "pre_conditions": [], "post_conditions": []}, {"kind": "check", "function_name": "check_voice_search_launched", "description": "验证 G20 遥控器语音键功能正常。", "category": "bt_remote", "tags": ["kind:check", "domain:bt_remote"], "params": {}, "pre_conditions": [{"id": "step_press_bt_remote_voice_key", "type": "step", "reason": "先完成上一步操作"}], "post_conditions": []}]</t>
  </si>
  <si>
    <t>BT_Func_057</t>
  </si>
  <si>
    <t>Volume button</t>
  </si>
  <si>
    <t>1.Paired with BT remote
2.Short press / long press volume button while playing music or video</t>
  </si>
  <si>
    <t>The volume can respond to normal</t>
  </si>
  <si>
    <t>Summary（概要）
验证 G20 BT 遥控器音量键（短按/长按）功能正常，验证：短按/长按音量键时音量正常响应变化。
Preconditions（前置条件/环境准备）
1. DUT 已与 G20 BT 遥控器成功配对。
Steps（操作步骤）
Step 1：按下 G20 遥控器音量键（短按/长按）
目的：验证音量键（短按/长按）响应。
对应函数：step_press_bt_remote_volume()
Checks（检查点）
Check 1：音量键（短按/长按）响应正常
检查内容：短按/长按音量键时音量正常响应变化。
对应函数：check_volume_changed()</t>
  </si>
  <si>
    <t>[{"kind": "step", "function_name": "step_press_bt_remote_volume", "description": "按下 G20 遥控器音量键（短按/长按）。", "category": "bt_remote", "tags": ["kind:step", "domain:bt_remote"], "params": {}, "pre_conditions": [], "post_conditions": []}, {"kind": "check", "function_name": "check_volume_changed", "description": "验证 G20 遥控器音量键（短按/长按）功能正常。", "category": "bt_remote", "tags": ["kind:check", "domain:bt_remote"], "params": {}, "pre_conditions": [{"id": "step_press_bt_remote_volume", "type": "step", "reason": "先完成上一步操作"}], "post_conditions": []}]</t>
  </si>
  <si>
    <t>BT_Func_058</t>
  </si>
  <si>
    <t>Seek play button</t>
  </si>
  <si>
    <t>1.Paired with BT remote
2.Press the seek buttons while playing a video</t>
  </si>
  <si>
    <t>Can respond to normal</t>
  </si>
  <si>
    <t>Summary（概要）
验证 G20 BT 遥控器快进/快退键功能正常，验证：播放视频时按快进/快退键可正常响应。
Preconditions（前置条件/环境准备）
1. DUT 已与 G20 BT 遥控器成功配对。
Steps（操作步骤）
Step 1：按下 G20 遥控器快进/快退键
目的：验证快进/快退键响应。
对应函数：step_press_bt_remote_seek()
Checks（检查点）
Check 1：快进/快退键响应正常
检查内容：播放视频时按快进/快退键可正常响应。
对应函数：check_bt_remote_key_response()</t>
  </si>
  <si>
    <t>[{"kind": "step", "function_name": "step_press_bt_remote_seek", "description": "按下 G20 遥控器快进/快退键。", "category": "bt_remote", "tags": ["kind:step", "domain:bt_remote"], "params": {}, "pre_conditions": [], "post_conditions": []}, {"kind": "check", "function_name": "check_bt_remote_key_response", "description": "验证 G20 遥控器快进/快退键功能正常。", "category": "bt_remote", "tags": ["kind:check", "domain:bt_remote"], "params": {}, "pre_conditions": [{"id": "step_press_bt_remote_seek", "type": "step", "reason": "先完成上一步操作"}], "post_conditions": []}]</t>
  </si>
  <si>
    <t>BT_Func_059</t>
  </si>
  <si>
    <t>Nub button</t>
  </si>
  <si>
    <t>1.At wifi list and select AP
2.When pop up password input interface,press nub key on remote</t>
  </si>
  <si>
    <t>Summary（概要）
验证 G20 BT 遥控器数字/旋钮键功能正常，验证：在密码输入界面按旋钮键可正常输入。
Preconditions（前置条件/环境准备）
1. DUT 已与 G20 BT 遥控器成功配对。
Steps（操作步骤）
Step 1：按下 G20 遥控器数字/旋钮键
目的：验证数字/旋钮键响应。
对应函数：step_press_bt_remote_nub()
Checks（检查点）
Check 1：数字/旋钮键响应正常
检查内容：在密码输入界面按旋钮键可正常输入。
对应函数：check_bt_remote_key_response()</t>
  </si>
  <si>
    <t>[{"kind": "step", "function_name": "step_press_bt_remote_nub", "description": "按下 G20 遥控器数字/旋钮键。", "category": "bt_remote", "tags": ["kind:step", "domain:bt_remote"], "params": {}, "pre_conditions": [], "post_conditions": []}, {"kind": "check", "function_name": "check_bt_remote_key_response", "description": "验证 G20 遥控器数字/旋钮键功能正常。", "category": "bt_remote", "tags": ["kind:check", "domain:bt_remote"], "params": {}, "pre_conditions": [{"id": "step_press_bt_remote_nub", "type": "step", "reason": "先完成上一步操作"}], "post_conditions": []}]</t>
  </si>
  <si>
    <t>BT_Func_060</t>
  </si>
  <si>
    <t>settings button</t>
  </si>
  <si>
    <t>1.Paired with BT remote
2.Press the settings buttons while playing a video</t>
  </si>
  <si>
    <t>Summary（概要）
验证 G20 BT 遥控器设置键功能正常，验证：播放视频时按设置键可正常响应。
Preconditions（前置条件/环境准备）
1. DUT 已与 G20 BT 遥控器成功配对。
Steps（操作步骤）
Step 1：按下 G20 遥控器设置键
目的：验证设置键响应。
对应函数：step_press_bt_remote_settings()
Checks（检查点）
Check 1：设置键响应正常
检查内容：播放视频时按设置键可正常响应。
对应函数：check_bt_remote_key_response()</t>
  </si>
  <si>
    <t>[{"kind": "step", "function_name": "step_press_bt_remote_settings", "description": "按下 G20 遥控器设置键。", "category": "bt_remote", "tags": ["kind:step", "domain:bt_remote"], "params": {}, "pre_conditions": [], "post_conditions": []}, {"kind": "check", "function_name": "check_bt_remote_key_response", "description": "验证 G20 遥控器设置键功能正常。", "category": "bt_remote", "tags": ["kind:check", "domain:bt_remote"], "params": {}, "pre_conditions": [{"id": "step_press_bt_remote_settings", "type": "step", "reason": "先完成上一步操作"}], "post_conditions": []}]</t>
  </si>
  <si>
    <t>BT_Func_061</t>
  </si>
  <si>
    <t>Youtube button</t>
  </si>
  <si>
    <t>1.Paired with BT remote
2.Press the Youtube buttons while playing a video</t>
  </si>
  <si>
    <t>Summary（概要）
验证 G20 BT 遥控器YouTube 键功能正常，验证：播放视频时按 YouTube 键可正常响应。
Preconditions（前置条件/环境准备）
1. DUT 已与 G20 BT 遥控器成功配对。
Steps（操作步骤）
Step 1：按下 G20 遥控器YouTube 键
目的：验证YouTube 键响应。
对应函数：step_press_bt_remote_youtube()
Checks（检查点）
Check 1：YouTube 键响应正常
检查内容：播放视频时按 YouTube 键可正常响应。
对应函数：check_bt_remote_key_response()</t>
  </si>
  <si>
    <t>[{"kind": "step", "function_name": "step_press_bt_remote_youtube", "description": "按下 G20 遥控器YouTube 键。", "category": "bt_remote", "tags": ["kind:step", "domain:bt_remote"], "params": {}, "pre_conditions": [], "post_conditions": []}, {"kind": "check", "function_name": "check_bt_remote_key_response", "description": "验证 G20 遥控器YouTube 键功能正常。", "category": "bt_remote", "tags": ["kind:check", "domain:bt_remote"], "params": {}, "pre_conditions": [{"id": "step_press_bt_remote_youtube", "type": "step", "reason": "先完成上一步操作"}], "post_conditions": []}]</t>
  </si>
  <si>
    <t>BT_Func_062</t>
  </si>
  <si>
    <t>Power key</t>
  </si>
  <si>
    <t>1.Press the power button on any interface
2.Press the power button while the platform is sleeping
3.Immediately Press the power button when the platform is shut down</t>
  </si>
  <si>
    <t>1.The platform enter standby mode and not auto resume
2.The platform can wake up normally
3.The platform can boot normally</t>
  </si>
  <si>
    <t>Summary（概要）
验证 G20 遥控器电源键的三种场景均正常，验证：1. 界面上按电源键进入待机；2. 待机状态按电源键唤醒；3. 关机时立即按电源键正常启动。
Preconditions（前置条件/环境准备）
1. DUT 已与 G20 BT 遥控器配对。
Steps（操作步骤）
Step 1：在任意界面按电源键
目的：触发进入待机。
对应函数：step_press_bt_remote_power()
Step 2：待机状态下按电源键
目的：触发从待机唤醒。
对应函数：step_press_bt_remote_power()
Step 3：关机时立即按电源键
目的：触发从关机启动。
对应函数：step_press_bt_remote_power()
Checks（检查点）
Check 1：按电源键后进入待机且不自动恢复
检查内容：确认待机行为正确。
对应函数：check_dut_in_standby()
Check 2：待机按电源键后正常唤醒
检查内容：确认唤醒成功。
对应函数：check_dut_wakeup_via_wol()
Check 3：关机时按电源键后正常开机
检查内容：确认开机流程正确。
对应函数：check_dut_booted()</t>
  </si>
  <si>
    <t>[{"kind": "step", "function_name": "step_press_bt_remote_power", "description": "按 G20 遥控器电源键。", "category": "bt_remote", "tags": ["kind:step", "domain:bt_remote"], "params": {}, "pre_conditions": [], "post_conditions": []}, {"kind": "check", "function_name": "check_dut_in_standby", "description": "验证 DUT 进入待机状态。", "category": "bt_remote", "tags": ["kind:check", "domain:bt_remote"], "params": {}, "pre_conditions": [{"id": "step_press_bt_remote_power", "type": "step", "reason": "先完成上一步操作"}], "post_conditions": []}, {"kind": "check", "function_name": "check_dut_booted", "description": "验证 DUT 正常开机。", "category": "bt_remote", "tags": ["kind:check", "domain:bt_remote"], "params": {}, "pre_conditions": [{"id": "step_press_bt_remote_power", "type": "step", "reason": "先完成上一步操作"}], "post_conditions": []}]</t>
  </si>
  <si>
    <t>BT_Func_063</t>
  </si>
  <si>
    <t>Netflix key</t>
  </si>
  <si>
    <t>1.When DUT enter shutdown 
2.Press Netflix key on G20 BT  remote</t>
  </si>
  <si>
    <t>1.If  DUT not have Netflix APP,DUT will boot up and G20 function working well
2.If  DUT  have  Netflix APP,DUT will boot up and auto open Netflix APP</t>
  </si>
  <si>
    <t>Summary（概要）
验证 DUT 关机状态下按 G20 Netflix 键能开机，验证：1. 无 Netflix APP 时正常开机；2. 有 Netflix APP 时开机并自动打开 Netflix。
Preconditions（前置条件/环境准备）
1. DUT 已与 G20 BT 遥控器配对，DUT 处于关机状态。
Steps（操作步骤）
Step 1：DUT 关机状态下按 G20 Netflix 键
目的：测试关机状态下 Netflix 键的开机及应用启动行为。
对应函数：step_press_bt_remote_netflix()
Checks（检查点）
Check 1：无 Netflix APP：DUT 开机，G20 功能正常
检查内容：确认无应用时仅开机，G20 功能正常。
对应函数：check_dut_booted()
Check 2：有 Netflix APP：DUT 开机并自动打开 Netflix
检查内容：确认有应用时开机后 Netflix 自动启动。
对应函数：check_app_launched()</t>
  </si>
  <si>
    <t>[{"kind": "step", "function_name": "step_press_bt_remote_netflix", "description": "在 DUT 关机状态下按 G20 遥控器 Netflix 键。", "category": "bt_remote", "tags": ["kind:step", "domain:bt_remote"], "params": {}, "pre_conditions": [], "post_conditions": []}, {"kind": "check", "function_name": "check_dut_booted", "description": "验证 DUT 成功开机。", "category": "bt_remote", "tags": ["kind:check", "domain:bt_remote"], "params": {}, "pre_conditions": [{"id": "step_press_bt_remote_netflix", "type": "step", "reason": "先完成上一步操作"}], "post_conditions": []}, {"kind": "check", "function_name": "check_app_launched", "description": "验证 Netflix 应用自动启动（若已安装）。", "category": "bt_remote", "tags": ["kind:check", "domain:bt_remote"], "params": {"app_name": {"name": "app_name", "type": "str", "required": false, "default": "netflix", "description": "期望自动启动的应用名称"}}, "pre_conditions": [{"id": "step_press_bt_remote_netflix", "type": "step", "reason": "先完成上一步操作"}], "post_conditions": []}]</t>
  </si>
  <si>
    <t>BT_Func_064</t>
  </si>
  <si>
    <t>DUT reconnect back time</t>
  </si>
  <si>
    <t>1.Reboot the DUT,when DUT boot up and enter home interface,check the G20 BT remote reconneck  time
2.When DUT enter deep sleep status,press power key to resume the DUT and then he G20 BT remote reconneck  time</t>
  </si>
  <si>
    <t>1.G20  BT remote can reconnect back while DUT enter home interface
2.G20 BT remote can reconnect back when DUT resume</t>
  </si>
  <si>
    <t>Summary（概要）
验证 DUT 重启和深度休眠唤醒后 G20 遥控器重连时间合规，验证：1. 进入主界面时遥控器即可使用；2. 唤醒后遥控器立即可用。
Preconditions（前置条件/环境准备）
1. DUT 已与 G20 BT 遥控器配对。
Steps（操作步骤）
Step 1：重启 DUT，进入主界面后检查 G20 重连时间
目的：测试重启场景下遥控器重连耗时。
对应函数：step_reboot_dut()
Step 2：DUT 进入深度休眠，按电源键唤醒后检查 G20 重连时间
目的：测试休眠唤醒场景下遥控器重连耗时。
对应函数：step_wakeup_dut()
Checks（检查点）
Check 1：重启后进入主界面时 G20 已重连
检查内容：确认重启进入主界面后 G20 遥控器即可使用。
对应函数：check_bt_remote_keys_functional()
Check 2：唤醒后 G20 立即重连
检查内容：确认唤醒后 G20 遥控器可立即使用。
对应函数：check_bt_remote_keys_functional()</t>
  </si>
  <si>
    <t>[{"kind": "step", "function_name": "step_reboot_dut", "description": "重启 DUT。", "category": "bt_remote", "tags": ["kind:step", "domain:bt_remote"], "params": {}, "pre_conditions": [], "post_conditions": []}, {"kind": "step", "function_name": "step_wakeup_dut", "description": "DUT 进入深度休眠后唤醒。", "category": "bt_remote", "tags": ["kind:step", "domain:bt_remote"], "params": {}, "pre_conditions": [], "post_conditions": []}, {"kind": "check", "function_name": "check_bt_remote_keys_functional", "description": "验证 G20 遥控器重连后功能正常可用。", "category": "bt_remote", "tags": ["kind:check", "domain:bt_remote"], "params": {}, "pre_conditions": [{"id": "step_reboot_dut", "type": "step", "reason": "先完成上一步操作"}], "post_conditions": []}]</t>
  </si>
  <si>
    <t>BT_Func_065</t>
  </si>
  <si>
    <t>Paired with BT remote</t>
  </si>
  <si>
    <t>1.Install the blerecorder.apk
2.Open the blerecorder.apk and talking to the BT  remote about 2mins</t>
  </si>
  <si>
    <r>
      <rPr>
        <sz val="9"/>
        <color rgb="FF000000"/>
        <rFont val="Arial"/>
      </rPr>
      <t xml:space="preserve">1.Recording function is OK </t>
    </r>
    <r>
      <rPr>
        <sz val="9"/>
        <color rgb="FF000000"/>
        <rFont val="宋体"/>
      </rPr>
      <t xml:space="preserve">；
</t>
    </r>
    <r>
      <rPr>
        <sz val="9"/>
        <color rgb="FF000000"/>
        <rFont val="Arial"/>
      </rPr>
      <t>2.Recording file is saved normally and no data is lost</t>
    </r>
    <r>
      <rPr>
        <sz val="9"/>
        <color rgb="FF000000"/>
        <rFont val="宋体"/>
      </rPr>
      <t xml:space="preserve">；
</t>
    </r>
    <r>
      <rPr>
        <sz val="9"/>
        <color rgb="FF000000"/>
        <rFont val="Arial"/>
      </rPr>
      <t>3.Bluetooth remote control function after exiting apk</t>
    </r>
  </si>
  <si>
    <t>failed to install blerecorder.apk: Failure [INSTALL_FAILED_DEPRECATED_SDK_VERSION: App package must target at least SDK version 23, but found 19]</t>
  </si>
  <si>
    <t>1. 先待定，公版是否支持PCM_IN、PCM_OUT, https://confluence.amlogic.com/display/HW/S7+S905Y5+DV+HDK+release+summary?preview=/376711006/423021090/S905Y5_BH201_ddr4x2_4L_SCH_v1.1_r0.9_20240722.pdf  S9055+W2是支持的PCM_IN、PCM_OUT引脚</t>
  </si>
  <si>
    <t>有新测试工具, GTV 支持record</t>
  </si>
  <si>
    <t>Summary（概要）
验证 BT 遥控器录音功能正常（需待定评估）：1. 录音功能可用；2. 录音文件正常保存；3. 退出 APK 后遥控器功能正常。
Preconditions（前置条件/环境准备）
1. DUT 已安装 blerecorder.apk 或 GTV 录音工具，BT 遥控器已配对。
2. 备注：需先确认公版是否支持 PCM_IN/PCM_OUT。
Steps（操作步骤）
Step 1：安装录音 APK，打开并用 BT 遥控器录音约 2 分钟
目的：验证 BT 遥控器录音能力。
对应函数：step_record_via_bt_remote()
Step 2：退出录音 APK
目的：验证退出后遥控器功能不受影响。
对应函数：step_exit_recording_app()
Checks（检查点）
Check 1：录音功能正常，文件保存完整
检查内容：确认录音文件已保存且无数据丢失。
对应函数：check_bt_headset_recording_saved()
Check 2：退出后 BT 遥控器功能正常
检查内容：确认退出录音 APK 后遥控器按键均有效。
对应函数：check_bt_remote_keys_functional()</t>
  </si>
  <si>
    <t>[{"kind": "step", "function_name": "step_record_via_bt_remote", "description": "通过 BT 遥控器使用录音应用进行录制。", "category": "bt_remote", "tags": ["kind:step", "domain:bt_remote"], "params": {"record_duration": {"name": "record_duration", "type": "int", "required": false, "default": 120, "description": "录音时长（秒）"}}, "pre_conditions": [], "post_conditions": []}, {"kind": "step", "function_name": "step_exit_recording_app", "description": "退出录音应用。", "category": "bt_remote", "tags": ["kind:step", "domain:bt_remote"], "params": {}, "pre_conditions": [{"id": "step_record_via_bt_remote", "type": "step", "reason": "先完成上一步操作"}], "post_conditions": []}, {"kind": "check", "function_name": "check_bt_headset_recording_saved", "description": "验证录音文件保存完整。", "category": "bt_remote", "tags": ["kind:check", "domain:bt_remote"], "params": {}, "pre_conditions": [{"id": "step_record_via_bt_remote", "type": "step", "reason": "先完成上一步操作"}], "post_conditions": []}, {"kind": "check", "function_name": "check_bt_remote_keys_functional", "description": "验证退出后 BT 遥控器功能正常。", "category": "bt_remote", "tags": ["kind:check", "domain:bt_remote"], "params": {}, "pre_conditions": [{"id": "step_exit_recording_app", "type": "step", "reason": "先完成上一步操作"}], "post_conditions": []}]</t>
  </si>
  <si>
    <t>BT_Func_066</t>
  </si>
  <si>
    <t>Performance</t>
  </si>
  <si>
    <t>through a wall</t>
  </si>
  <si>
    <t>Paired with BT remote
BT remote and DUT distance a wall</t>
  </si>
  <si>
    <t>Press key on BT remote</t>
  </si>
  <si>
    <t>BT remote working wall</t>
  </si>
  <si>
    <t>无法调整空间位置</t>
  </si>
  <si>
    <t>Summary（概要）
验证蓝牙性能：BT 遥控器穿一堵墙后功能正常（注：需动态调整空间位置，不可自动化）。
Preconditions（前置条件/环境准备）
1. DUT 及蓝牙设备已配对，测试环境允许移动设备位置。
2. 备注：无法自动调整空间位置，此用例不可自动化。
Steps（操作步骤）
Step 1：按测试步骤调整蓝牙设备位置：穿墙测试
目的：验证蓝牙性能边界。
对应函数：step_adjust_bt_distance_or_angle()
Checks（检查点）
Check 1：BT 遥控器穿一堵墙后功能正常
检查内容：确认在规定距离/角度范围内蓝牙功能正常。
对应函数：check_bt_performance_within_spec()</t>
  </si>
  <si>
    <t>[{"kind": "step", "function_name": "step_adjust_bt_distance_or_angle", "description": "调整 DUT 与蓝牙设备的距离或角度。", "category": "bt_performance", "tags": ["kind:step", "domain:bt_performance"], "params": {"distance_m": {"name": "distance_m", "type": "int", "required": false, "default": 5, "description": "测试距离（米）"}}, "pre_conditions": [], "post_conditions": []}, {"kind": "check", "function_name": "check_bt_performance_within_spec", "description": "验证蓝牙在规定距离/角度下功能正常。", "category": "bt_performance", "tags": ["kind:check", "domain:bt_performance"], "params": {}, "pre_conditions": [{"id": "step_adjust_bt_distance_or_angle", "type": "step", "reason": "先完成上一步操作"}], "post_conditions": []}]</t>
  </si>
  <si>
    <t>BT_Func_067</t>
  </si>
  <si>
    <t>G20 reconnect back time</t>
  </si>
  <si>
    <t>1.DUT pair BT remote
2.Reboot the DUT
3.When DUT enter home interface,press key on BT  remote</t>
  </si>
  <si>
    <t>BT remote  can reconnect back within 5s</t>
  </si>
  <si>
    <t>Summary（概要）
验证 G20 BT 遥控器在 DUT 重启后能在 5 秒内重连，验证：重启后进入主界面时遥控器在 5 秒内重连。
Preconditions（前置条件/环境准备）
1. DUT 已与 G20 BT 遥控器配对。
Steps（操作步骤）
Step 1：重启 DUT
目的：触发重启，计时 G20 重连耗时。
对应函数：step_reboot_dut()
Step 2：进入主界面后按任意键，检查重连时间
目的：验证重连时间 ≤ 5 秒。
对应函数：step_press_any_key_on_bt_remote()
Checks（检查点）
Check 1：G20 在 5 秒内重连成功
检查内容：确认从进入主界面到 G20 可用耗时 ≤ 5 秒。
对应函数：check_bt_reconnect_within_5s()</t>
  </si>
  <si>
    <t>[{"kind": "step", "function_name": "step_reboot_dut", "description": "重启 DUT。", "category": "bt_performance", "tags": ["kind:step", "domain:bt_performance"], "params": {}, "pre_conditions": [], "post_conditions": []}, {"kind": "step", "function_name": "step_press_any_key_on_bt_remote", "description": "DUT 启动完成后按 G20 任意键。", "category": "bt_performance", "tags": ["kind:step", "domain:bt_performance"], "params": {}, "pre_conditions": [{"id": "step_reboot_dut", "type": "step", "reason": "先完成上一步操作"}], "post_conditions": []}, {"kind": "check", "function_name": "check_bt_reconnect_within_5s", "description": "验证 G20 重连耗时 ≤ 5 秒。", "category": "bt_performance", "tags": ["kind:check", "domain:bt_performance"], "params": {"timeout_sec": {"name": "timeout_sec", "type": "int", "required": false, "default": 5, "description": "重连超时阈值（秒）"}}, "pre_conditions": [{"id": "step_press_any_key_on_bt_remote", "type": "step", "reason": "先完成上一步操作"}], "post_conditions": []}]</t>
  </si>
  <si>
    <t>BT_Func_068</t>
  </si>
  <si>
    <t>Paired with BT speaker</t>
  </si>
  <si>
    <t>1.Paired with BT speaker 
2.listen to music and then BT  speaker   moves away from the platform</t>
  </si>
  <si>
    <t>Sound can't be stuck within 5 meters</t>
  </si>
  <si>
    <t>Summary（概要）
验证蓝牙性能：5 米范围内 BT 音箱音频无卡顿（注：需动态调整空间位置，不可自动化）。
Preconditions（前置条件/环境准备）
1. DUT 及蓝牙设备已配对，测试环境允许移动设备位置。
2. 备注：无法自动调整空间位置，此用例不可自动化。
Steps（操作步骤）
Step 1：按测试步骤调整蓝牙设备位置：BT 音箱 5 米内移动
目的：验证蓝牙性能边界。
对应函数：step_adjust_bt_distance_or_angle()
Checks（检查点）
Check 1：5 米范围内 BT 音箱音频无卡顿
检查内容：确认在规定距离/角度范围内蓝牙功能正常。
对应函数：check_bt_performance_within_spec()</t>
  </si>
  <si>
    <t>BT_Func_069</t>
  </si>
  <si>
    <t>1.Paired with mobile phone
2.Gradually increase the range during Bluetooth file transfer</t>
  </si>
  <si>
    <t>Transmission within 5 meters cannot be interrupted</t>
  </si>
  <si>
    <t>Summary（概要）
验证蓝牙性能：5 米范围内传输不中断（注：需动态调整空间位置，不可自动化）。
Preconditions（前置条件/环境准备）
1. DUT 及蓝牙设备已配对，测试环境允许移动设备位置。
2. 备注：无法自动调整空间位置，此用例不可自动化。
Steps（操作步骤）
Step 1：按测试步骤调整蓝牙设备位置：手机蓝牙文件传输增大距离
目的：验证蓝牙性能边界。
对应函数：step_adjust_bt_distance_or_angle()
Checks（检查点）
Check 1：5 米范围内传输不中断
检查内容：确认在规定距离/角度范围内蓝牙功能正常。
对应函数：check_bt_performance_within_spec()</t>
  </si>
  <si>
    <t>BT_Func_070</t>
  </si>
  <si>
    <t>1.Paired with G20 BT remote
2.Gradually increase the range during G20 and DUT,press key on G20</t>
  </si>
  <si>
    <t>G20 every key working well  within 10 meters</t>
  </si>
  <si>
    <t>Summary（概要）
验证蓝牙性能：10 米范围内 G20 所有按键正常（注：需动态调整空间位置，不可自动化）。
Preconditions（前置条件/环境准备）
1. DUT 及蓝牙设备已配对，测试环境允许移动设备位置。
2. 备注：无法自动调整空间位置，此用例不可自动化。
Steps（操作步骤）
Step 1：按测试步骤调整蓝牙设备位置：G20 遥控器增大距离
目的：验证蓝牙性能边界。
对应函数：step_adjust_bt_distance_or_angle()
Checks（检查点）
Check 1：10 米范围内 G20 所有按键正常
检查内容：确认在规定距离/角度范围内蓝牙功能正常。
对应函数：check_bt_performance_within_spec()</t>
  </si>
  <si>
    <t>BT_Func_071</t>
  </si>
  <si>
    <t>1.Paired with BT speaker 
2.listen to music and then BT  speaker 
3.Change the angle to 60/120/180/240/300/360 within 5meters</t>
  </si>
  <si>
    <t>Sound can't be stuck at every   angle</t>
  </si>
  <si>
    <t>Summary（概要）
验证蓝牙性能：每个角度 5 米内音频无卡顿（注：需动态调整空间位置，不可自动化）。
Preconditions（前置条件/环境准备）
1. DUT 及蓝牙设备已配对，测试环境允许移动设备位置。
2. 备注：无法自动调整空间位置，此用例不可自动化。
Steps（操作步骤）
Step 1：按测试步骤调整蓝牙设备位置：BT 音箱不同角度（60/120/180/240/300/360°）
目的：验证蓝牙性能边界。
对应函数：step_adjust_bt_distance_or_angle()
Checks（检查点）
Check 1：每个角度 5 米内音频无卡顿
检查内容：确认在规定距离/角度范围内蓝牙功能正常。
对应函数：check_bt_performance_within_spec()</t>
  </si>
  <si>
    <t>BT_Func_072</t>
  </si>
  <si>
    <t>1.Paired with mobile phone
2.Phone send file to DUT
3.Change the angle to 60/120/180/240/300/360 within 5meters</t>
  </si>
  <si>
    <t>Transmission cannot be interrupted at every   angle</t>
  </si>
  <si>
    <t>Summary（概要）
验证蓝牙性能：每个角度 5 米内传输不中断（注：需动态调整空间位置，不可自动化）。
Preconditions（前置条件/环境准备）
1. DUT 及蓝牙设备已配对，测试环境允许移动设备位置。
2. 备注：无法自动调整空间位置，此用例不可自动化。
Steps（操作步骤）
Step 1：按测试步骤调整蓝牙设备位置：手机文件传输不同角度
目的：验证蓝牙性能边界。
对应函数：step_adjust_bt_distance_or_angle()
Checks（检查点）
Check 1：每个角度 5 米内传输不中断
检查内容：确认在规定距离/角度范围内蓝牙功能正常。
对应函数：check_bt_performance_within_spec()</t>
  </si>
  <si>
    <t>BT_Func_073</t>
  </si>
  <si>
    <t>1.Paired with G20 BT remote
2.Change the angle to 60/120/180/240/300/360 within 10meters</t>
  </si>
  <si>
    <t>Summary（概要）
验证蓝牙性能：每个角度 10 米内 G20 所有按键正常（注：需动态调整空间位置，不可自动化）。
Preconditions（前置条件/环境准备）
1. DUT 及蓝牙设备已配对，测试环境允许移动设备位置。
2. 备注：无法自动调整空间位置，此用例不可自动化。
Steps（操作步骤）
Step 1：按测试步骤调整蓝牙设备位置：G20 不同角度
目的：验证蓝牙性能边界。
对应函数：step_adjust_bt_distance_or_angle()
Checks（检查点）
Check 1：每个角度 10 米内 G20 所有按键正常
检查内容：确认在规定距离/角度范围内蓝牙功能正常。
对应函数：check_bt_performance_within_spec()</t>
  </si>
  <si>
    <t>BT_Func_074</t>
  </si>
  <si>
    <t>Pairing with multiple Bluetooth devices</t>
  </si>
  <si>
    <r>
      <rPr>
        <sz val="9"/>
        <color rgb="FF000000"/>
        <rFont val="Arial"/>
        <family val="2"/>
      </rPr>
      <t>BT remote</t>
    </r>
    <r>
      <rPr>
        <sz val="9"/>
        <color rgb="FF000000"/>
        <rFont val="宋体"/>
        <family val="3"/>
        <charset val="134"/>
      </rPr>
      <t>、</t>
    </r>
    <r>
      <rPr>
        <sz val="9"/>
        <color rgb="FF000000"/>
        <rFont val="Arial"/>
        <family val="2"/>
      </rPr>
      <t>2 BT speaker</t>
    </r>
    <r>
      <rPr>
        <sz val="9"/>
        <color rgb="FF000000"/>
        <rFont val="宋体"/>
        <family val="3"/>
        <charset val="134"/>
      </rPr>
      <t>、</t>
    </r>
    <r>
      <rPr>
        <sz val="9"/>
        <color rgb="FF000000"/>
        <rFont val="Arial"/>
        <family val="2"/>
      </rPr>
      <t>BT mouse</t>
    </r>
    <r>
      <rPr>
        <sz val="9"/>
        <color rgb="FF000000"/>
        <rFont val="宋体"/>
        <family val="3"/>
        <charset val="134"/>
      </rPr>
      <t>、</t>
    </r>
    <r>
      <rPr>
        <sz val="9"/>
        <color rgb="FF000000"/>
        <rFont val="Arial"/>
        <family val="2"/>
      </rPr>
      <t>mobile phone</t>
    </r>
    <r>
      <rPr>
        <sz val="9"/>
        <color rgb="FF000000"/>
        <rFont val="宋体"/>
        <family val="3"/>
        <charset val="134"/>
      </rPr>
      <t>、</t>
    </r>
    <r>
      <rPr>
        <sz val="9"/>
        <color rgb="FF000000"/>
        <rFont val="Arial"/>
        <family val="2"/>
      </rPr>
      <t>BT keyboard</t>
    </r>
  </si>
  <si>
    <r>
      <rPr>
        <sz val="9"/>
        <color rgb="FF000000"/>
        <rFont val="Arial"/>
        <family val="2"/>
      </rPr>
      <t>1.DUT pair with BT remote</t>
    </r>
    <r>
      <rPr>
        <sz val="9"/>
        <color rgb="FF000000"/>
        <rFont val="宋体"/>
        <family val="3"/>
        <charset val="134"/>
      </rPr>
      <t>、</t>
    </r>
    <r>
      <rPr>
        <sz val="9"/>
        <color rgb="FF000000"/>
        <rFont val="Arial"/>
        <family val="2"/>
      </rPr>
      <t>2 BT speaker</t>
    </r>
    <r>
      <rPr>
        <sz val="9"/>
        <color rgb="FF000000"/>
        <rFont val="宋体"/>
        <family val="3"/>
        <charset val="134"/>
      </rPr>
      <t>、</t>
    </r>
    <r>
      <rPr>
        <sz val="9"/>
        <color rgb="FF000000"/>
        <rFont val="Arial"/>
        <family val="2"/>
      </rPr>
      <t>BT mouse</t>
    </r>
    <r>
      <rPr>
        <sz val="9"/>
        <color rgb="FF000000"/>
        <rFont val="宋体"/>
        <family val="3"/>
        <charset val="134"/>
      </rPr>
      <t>、</t>
    </r>
    <r>
      <rPr>
        <sz val="9"/>
        <color rgb="FF000000"/>
        <rFont val="Arial"/>
        <family val="2"/>
      </rPr>
      <t>mobile phone</t>
    </r>
    <r>
      <rPr>
        <sz val="9"/>
        <color rgb="FF000000"/>
        <rFont val="宋体"/>
        <family val="3"/>
        <charset val="134"/>
      </rPr>
      <t>、</t>
    </r>
    <r>
      <rPr>
        <sz val="9"/>
        <color rgb="FF000000"/>
        <rFont val="Arial"/>
        <family val="2"/>
      </rPr>
      <t>BT keyboard</t>
    </r>
  </si>
  <si>
    <t>1.DUT pair with every BT devices successful
2.The BT devices work well</t>
  </si>
  <si>
    <t>无法模拟这么多的蓝牙设备</t>
  </si>
  <si>
    <t>Summary（概要）
验证 DUT 与多种蓝牙设备（遥控器/2 个音箱/鼠标/手机/键盘）同时配对均成功且正常工作（注：无法模拟多蓝牙设备，标记为不可自动化），验证：所有设备配对成功且功能正常。
Preconditions（前置条件/环境准备）
1. 准备 G20 BT 遥控器、2 个 BT 音箱、BT 鼠标、手机、BT 键盘。
2. 备注：无法模拟这么多蓝牙设备，此用例不可自动化。
Steps（操作步骤）
Step 1：DUT 依次与所有 BT 设备配对
目的：测试多设备并发配对能力。
对应函数：step_pair_multiple_bt_devices()
Checks（检查点）
Check 1：所有设备配对成功且功能正常
检查内容：确认所有 BT 设备均配对成功并可正常使用。
对应函数：check_bt_multi_devices_functional()</t>
  </si>
  <si>
    <t>[{"kind": "step", "function_name": "step_pair_multiple_bt_devices", "description": "依次与多种蓝牙设备完成配对。", "category": "bt_pairing", "tags": ["kind:step", "domain:bt_pairing"], "params": {"devices": {"name": "devices", "type": "str", "required": false, "default": "G20 remote,BT speaker x2,BT mouse,phone,BT keyboard", "description": "需配对的蓝牙设备列表"}}, "pre_conditions": [], "post_conditions": []}, {"kind": "check", "function_name": "check_bt_multi_devices_functional", "description": "验证所有已配对蓝牙设备功能正常。", "category": "bt_pairing", "tags": ["kind:check", "domain:bt_pairing"], "params": {}, "pre_conditions": [{"id": "step_pair_multiple_bt_devices", "type": "step", "reason": "先完成上一步操作"}], "post_conditions": []}]</t>
  </si>
  <si>
    <t>BT_Func_075</t>
  </si>
  <si>
    <t>disable BT switch and suspend</t>
  </si>
  <si>
    <t>DUT pair with G20 BT remote</t>
  </si>
  <si>
    <t>1.input  svc bluetooth disable to disable BT
2.Press power key</t>
  </si>
  <si>
    <t>DUT keep enter deep sleep status</t>
  </si>
  <si>
    <t>Summary（概要）
验证通过命令禁用蓝牙后 DUT 可正常进入深度待机，验证：svc bluetooth disable 后按电源键可进入深度休眠。
Preconditions（前置条件/环境准备）
1. DUT 已与 G20 BT 遥控器配对。
Steps（操作步骤）
Step 1：执行 svc bluetooth disable 禁用蓝牙
目的：通过命令禁用蓝牙功能。
对应函数：step_disable_bluetooth_via_cmd()
Step 2：按电源键使 DUT 进入深度待机
目的：验证禁用蓝牙不影响待机功能。
对应函数：step_enter_standby()
Checks（检查点）
Check 1：DUT 正常进入深度待机状态
检查内容：确认禁用蓝牙后待机功能不受影响。
对应函数：check_dut_in_standby()</t>
  </si>
  <si>
    <t>[{"kind": "step", "function_name": "step_disable_bluetooth_via_cmd", "description": "通过 adb/串口命令 svc bluetooth disable 禁用蓝牙。", "category": "bt_settings", "tags": ["kind:step", "domain:bt_settings"], "params": {}, "pre_conditions": [], "post_conditions": []}, {"kind": "step", "function_name": "step_enter_standby", "description": "按电源键进入深度待机。", "category": "bt_settings", "tags": ["kind:step", "domain:bt_settings"], "params": {}, "pre_conditions": [{"id": "step_disable_bluetooth_via_cmd", "type": "step", "reason": "先完成上一步操作"}], "post_conditions": []}, {"kind": "check", "function_name": "check_dut_in_standby", "description": "验证 DUT 正常进入深度待机。", "category": "bt_settings", "tags": ["kind:check", "domain:bt_settings"], "params": {}, "pre_conditions": [{"id": "step_enter_standby", "type": "step", "reason": "先完成上一步操作"}], "post_conditions": []}]</t>
  </si>
  <si>
    <t>BT_Func_076</t>
  </si>
  <si>
    <t>After OTA upgrade BT remoteand check BT connect</t>
  </si>
  <si>
    <t>1.DUT pair with G20 BT remote
2.G20 have new version</t>
  </si>
  <si>
    <t>1.DUT pair with G20 BT remote
2.G20 BT remote OTA upgrade to new version
3.After OTA upgrade and reboot the DUT,check G20 BT  remote</t>
  </si>
  <si>
    <t>G20 BT  remote  can reconnect back</t>
  </si>
  <si>
    <t>Summary（概要）
验证 G20 BT 遥控器 OTA 升级后重启 DUT 仍能自动重连，验证：OTA 升级并重启后 G20 正常重连。
Preconditions（前置条件/环境准备）
1. DUT 已与 G20 BT 遥控器配对，G20 有可用的新版本固件。
Steps（操作步骤）
Step 1：G20 执行 OTA 升级到新版本
目的：升级 G20 固件，测试升级后兼容性。
对应函数：step_ota_upgrade_bt_remote()
Step 2：重启 DUT，检查 G20 重连
目的：验证升级后重启 DUT G20 仍可重连。
对应函数：step_reboot_dut()
Checks（检查点）
Check 1：OTA 升级后 G20 重连成功且功能正常
检查内容：确认升级后 G20 与 DUT 重连成功，按键均有效。
对应函数：check_bt_remote_keys_functional()</t>
  </si>
  <si>
    <t>[{"kind": "step", "function_name": "step_ota_upgrade_bt_remote", "description": "G20 BT 遥控器执行 OTA 固件升级。", "category": "bt_remote", "tags": ["kind:step", "domain:bt_remote"], "params": {}, "pre_conditions": [], "post_conditions": []}, {"kind": "step", "function_name": "step_reboot_dut", "description": "重启 DUT。", "category": "bt_remote", "tags": ["kind:step", "domain:bt_remote"], "params": {}, "pre_conditions": [{"id": "step_ota_upgrade_bt_remote", "type": "step", "reason": "先完成上一步操作"}], "post_conditions": []}, {"kind": "check", "function_name": "check_bt_remote_keys_functional", "description": "验证 OTA 升级后 G20 重连且功能正常。", "category": "bt_remote", "tags": ["kind:check", "domain:bt_remote"], "params": {}, "pre_conditions": [{"id": "step_reboot_dut", "type": "step", "reason": "先完成上一步操作"}], "post_conditions": []}]</t>
  </si>
  <si>
    <t>BT_Func_077</t>
  </si>
  <si>
    <t>After  reboot quiescent and check the BT remote</t>
  </si>
  <si>
    <t>1.DUT pair with G20 BT remote
2.Input  reboot quiescent
3.After DUT boot up,press power key on G20</t>
  </si>
  <si>
    <t>DUT and TV can resume</t>
  </si>
  <si>
    <t>Summary（概要）
验证执行 reboot quiescent 后 DUT 和 TV 能正常唤醒，验证：reboot quiescent 后按 G20 电源键 DUT 和 TV 正常恢复。
Preconditions（前置条件/环境准备）
1. DUT 已与 G20 BT 遥控器配对。
Steps（操作步骤）
Step 1：执行 reboot quiescent 命令
目的：进入静默重启状态。
对应函数：step_reboot_quiescent()
Step 2：DUT 启动后按 G20 电源键
目的：触发从 quiescent 状态唤醒。
对应函数：step_press_bt_remote_power()
Checks（检查点）
Check 1：DUT 和 TV 正常唤醒/恢复
检查内容：确认 reboot quiescent 后设备可正常恢复工作。
对应函数：check_dut_booted()</t>
  </si>
  <si>
    <t>[{"kind": "step", "function_name": "step_reboot_quiescent", "description": "通过命令执行 reboot quiescent。", "category": "bt_remote", "tags": ["kind:step", "domain:bt_remote"], "params": {}, "pre_conditions": [], "post_conditions": []}, {"kind": "step", "function_name": "step_press_bt_remote_power", "description": "按 G20 电源键唤醒 DUT。", "category": "bt_remote", "tags": ["kind:step", "domain:bt_remote"], "params": {}, "pre_conditions": [{"id": "step_reboot_quiescent", "type": "step", "reason": "先完成上一步操作"}], "post_conditions": []}, {"kind": "check", "function_name": "check_dut_booted", "description": "验证 DUT 和 TV 正常唤醒。", "category": "bt_remote", "tags": ["kind:check", "domain:bt_remote"], "params": {}, "pre_conditions": [{"id": "step_press_bt_remote_power", "type": "step", "reason": "先完成上一步操作"}], "post_conditions": []}]</t>
  </si>
  <si>
    <t>BT_Func_078</t>
  </si>
  <si>
    <t>After connect with USB speaker ,DUT pair with BT speaker</t>
  </si>
  <si>
    <t>DUT connect with USB speaker</t>
  </si>
  <si>
    <t>1.DUT connect with USB speaker
2.DUT pair with Sony SRS-XB12 BT speaker</t>
  </si>
  <si>
    <t>BT speaker pair success and the sound come out from BT speaker while playing video</t>
  </si>
  <si>
    <t>Summary（概要）
验证 DUT 连接 USB 音箱时再配对 BT 音箱，BT 音箱配对成功且音频从 BT 音箱输出，验证：1. BT 音箱配对成功；2. 播放视频时音频从 BT 音箱输出。
Preconditions（前置条件/环境准备）
1. DUT 已连接 USB 音箱。
Steps（操作步骤）
Step 1：DUT 连接 USB 音箱后与 Sony SRS-XB12 BT 音箱配对
目的：测试 USB 和 BT 音箱共存时的配对和优先级。
对应函数：step_pair_bt_speaker()
Step 2：播放视频验证音频输出
目的：确认音频路由到 BT 音箱。
对应函数：step_play_local_video()
Checks（检查点）
Check 1：BT 音箱配对成功
检查内容：确认 BT 音箱在 USB 音箱连接状态下仍可配对成功。
对应函数：check_bt_device_paired()
Check 2：播放视频时音频从 BT 音箱输出
检查内容：确认音频优先从 BT 音箱输出。
对应函数：check_bt_speaker_audio_output()</t>
  </si>
  <si>
    <t>[{"kind": "step", "function_name": "step_pair_bt_speaker", "description": "在 USB 音箱已连接的情况下配对 BT 音箱。", "category": "bt_speaker", "tags": ["kind:step", "domain:bt_speaker"], "params": {"speaker_name": {"name": "speaker_name", "type": "str", "required": false, "default": "Sony SRS-XB12", "description": "BT 音箱名称"}}, "pre_conditions": [], "post_conditions": []}, {"kind": "step", "function_name": "step_play_local_video", "description": "播放本地视频验证音频输出。", "category": "bt_speaker", "tags": ["kind:step", "domain:bt_speaker"], "params": {}, "pre_conditions": [{"id": "step_pair_bt_speaker", "type": "step", "reason": "先完成上一步操作"}], "post_conditions": []}, {"kind": "check", "function_name": "check_bt_device_paired", "description": "验证 BT 音箱配对成功。", "category": "bt_speaker", "tags": ["kind:check", "domain:bt_speaker"], "params": {}, "pre_conditions": [{"id": "step_pair_bt_speaker", "type": "step", "reason": "先完成上一步操作"}], "post_conditions": []}, {"kind": "check", "function_name": "check_bt_speaker_audio_output", "description": "验证视频播放时音频从 BT 音箱输出。", "category": "bt_speaker", "tags": ["kind:check", "domain:bt_speaker"], "params": {}, "pre_conditions": [{"id": "step_play_local_video", "type": "step", "reason": "先完成上一步操作"}], "post_conditions": []}]</t>
  </si>
  <si>
    <t>BT Compatibility Test</t>
  </si>
  <si>
    <t>BT_comp_001</t>
  </si>
  <si>
    <t>Paired with xiaomi BT speaker</t>
  </si>
  <si>
    <t>xiaomi BT speaker</t>
  </si>
  <si>
    <t>1.Xiaomi BT speaker initiate pairing broadcast
2.DUT pair with xiaomi BT speaker
3.DUT playback video online
4.Reboot DUT
5.Power off BT speaker 
6.Power on  BT speaker 
7.Change the BT speaker volume</t>
  </si>
  <si>
    <t>1.After step1，DUT can research xiaomi BT speaker
2.DUT pair with xiaomi BT speaker successful 
3.The sound come out from BT speaker，sound and video are synchronized and smooth
4.After reboot，the BT speaker auto connect back
5.After power off BT speaker，the sound will come out from TV when play music
6.After power on，the BT speaker auto connect back and sound will come from BT speaker
7.The BT speaker volume will change</t>
  </si>
  <si>
    <t>BT_comp_002</t>
  </si>
  <si>
    <t>Paired with HUAWEI AM08 BT speaker</t>
  </si>
  <si>
    <t>huawei BT speaker</t>
  </si>
  <si>
    <t>1. HUAWEI AM08  BT speaker initiate pairing broadcast
2.DUT pair with HUAWEI AM08 BT speaker
3.DUT playback video online
4.Reboot DUT
5.Power off BT speaker 
6.Power on  BT speaker 
7.Change the BT speaker volume</t>
  </si>
  <si>
    <t>1.After step1，DUT can research HUAWEI AM08 BT speaker
2.DUT pair with HUAWEI AM08 BT speaker successful 
3.The sound come out from BT speaker，sound and video are synchronized and smooth
4.After reboot，the BT speaker auto connect back
5.After power off BT speaker，the sound will come out from TV when play music
6.After power on，the BT speaker auto connect back and sound will come from BT speaker
7.The BT speaker volume will change</t>
  </si>
  <si>
    <t>SWPL-214558</t>
  </si>
  <si>
    <t>BT_comp_003</t>
  </si>
  <si>
    <t>Paired with Sony SRS XB12 BT speaker</t>
  </si>
  <si>
    <t>Sony SRS XB12 BT speaker</t>
  </si>
  <si>
    <t>1.Sony SRS XB12 speaker initiate pairing broadcast
2.DUT pair with Sony SRS XB12 BT speaker
3.DUT playback video online
4.Reboot DUT
5.Power off BT speaker 
6.Power on  BT speaker 
7.Change the BT speaker volume</t>
  </si>
  <si>
    <t>1.After step1，DUT can research Sony SRS XB12 BT speaker
2.DUT pair with Sony SRS XB12 BT speaker successful 
3.The sound come out from BT speaker，sound and video are synchronized and smooth
4.After reboot，the BT speaker auto connect back
5.After power off BT speaker，the sound will come out from TV when play music
6.After power on，the BT speaker auto connect back and sound will come from BT speaker
7.The BT speaker volume will change</t>
  </si>
  <si>
    <t>SWPL-212580</t>
  </si>
  <si>
    <t>Sony SRS XB13 BT speaker</t>
  </si>
  <si>
    <t>1.Sony SRS XB13 speaker initiate pairing broadcast
2.DUT pair with Sony SRS XB13 BT speaker
3.DUT playback video online
4.Reboot DUT
5.Power off BT speaker 
6.Power on  BT speaker 
7.Change the BT speaker volume</t>
  </si>
  <si>
    <t>1.After step1，DUT can research Sony SRS XB13 BT speaker
2.DUT pair with Sony SRS XB13 BT speaker successful 
3.The sound come out from BT speaker，sound and video are synchronized and smooth
4.After reboot，the BT speaker auto connect back
5.After power off BT speaker，the sound will come out from TV when play music
6.After power on，the BT speaker auto connect back and sound will come from BT speaker
7.The BT speaker volume will change</t>
  </si>
  <si>
    <t>BT_comp_004</t>
  </si>
  <si>
    <t>Paired with JBL Flip5 BT speaker</t>
  </si>
  <si>
    <t>JBL Flip5 BT speaker</t>
  </si>
  <si>
    <t>1.JBL Flip5 BT speake initiate pairing broadcast
2.DUT pair with JBL Flip5 BT speake
3.DUT playback video online
4.Reboot DUT
5.Power off BT speaker 
6.Power on  BT speaker 
7.Change the BT speaker volume</t>
  </si>
  <si>
    <r>
      <rPr>
        <sz val="9"/>
        <color rgb="FF000000"/>
        <rFont val="Arial"/>
        <family val="2"/>
      </rPr>
      <t>1.After step1</t>
    </r>
    <r>
      <rPr>
        <sz val="9"/>
        <color rgb="FF000000"/>
        <rFont val="汉仪书宋二KW"/>
        <charset val="134"/>
      </rPr>
      <t>，</t>
    </r>
    <r>
      <rPr>
        <sz val="9"/>
        <color rgb="FF000000"/>
        <rFont val="Arial"/>
        <family val="2"/>
      </rPr>
      <t>DUT can research Sony BT speaker
2.DUT pair with JBL Flip5 BT speake speaker successful 
3.The sound come out from BT speaker</t>
    </r>
    <r>
      <rPr>
        <sz val="9"/>
        <color rgb="FF000000"/>
        <rFont val="汉仪书宋二KW"/>
        <charset val="134"/>
      </rPr>
      <t>，</t>
    </r>
    <r>
      <rPr>
        <sz val="9"/>
        <color rgb="FF000000"/>
        <rFont val="Arial"/>
        <family val="2"/>
      </rPr>
      <t>sound and video are synchronized and smooth
4.After reboot</t>
    </r>
    <r>
      <rPr>
        <sz val="9"/>
        <color rgb="FF000000"/>
        <rFont val="汉仪书宋二KW"/>
        <charset val="134"/>
      </rPr>
      <t>，</t>
    </r>
    <r>
      <rPr>
        <sz val="9"/>
        <color rgb="FF000000"/>
        <rFont val="Arial"/>
        <family val="2"/>
      </rPr>
      <t>the BT speaker auto connect back
5.After power off BT speaker</t>
    </r>
    <r>
      <rPr>
        <sz val="9"/>
        <color rgb="FF000000"/>
        <rFont val="汉仪书宋二KW"/>
        <charset val="134"/>
      </rPr>
      <t>，</t>
    </r>
    <r>
      <rPr>
        <sz val="9"/>
        <color rgb="FF000000"/>
        <rFont val="Arial"/>
        <family val="2"/>
      </rPr>
      <t>the sound will come out from TV when play music
6.After power on</t>
    </r>
    <r>
      <rPr>
        <sz val="9"/>
        <color rgb="FF000000"/>
        <rFont val="汉仪书宋二KW"/>
        <charset val="134"/>
      </rPr>
      <t>，</t>
    </r>
    <r>
      <rPr>
        <sz val="9"/>
        <color rgb="FF000000"/>
        <rFont val="Arial"/>
        <family val="2"/>
      </rPr>
      <t>the BT speaker auto connect back and sound will come from BT speaker
7.The BT speaker volume will change</t>
    </r>
  </si>
  <si>
    <t>SWPL-213207</t>
  </si>
  <si>
    <t>BT_comp_005</t>
  </si>
  <si>
    <t>Paired with JMUVO Play BT speaker</t>
  </si>
  <si>
    <t>MUVO Play BT speaker</t>
  </si>
  <si>
    <t>1.MUVO Play BT speake initiate pairing broadcast
2.DUT pair with MUVO Play BT speake
3.DUT playback video online
4.Reboot DUT
5.Power off BT speaker 
6.Power on  BT speaker 
7.Change the BT speaker volume</t>
  </si>
  <si>
    <r>
      <rPr>
        <sz val="9"/>
        <color rgb="FF000000"/>
        <rFont val="Arial"/>
        <family val="2"/>
      </rPr>
      <t>1.After step1</t>
    </r>
    <r>
      <rPr>
        <sz val="9"/>
        <color rgb="FF000000"/>
        <rFont val="汉仪书宋二KW"/>
        <charset val="134"/>
      </rPr>
      <t>，</t>
    </r>
    <r>
      <rPr>
        <sz val="9"/>
        <color rgb="FF000000"/>
        <rFont val="Arial"/>
        <family val="2"/>
      </rPr>
      <t>DUT can research MUVO Play speaker
2.DUT pair with MUVO Play BT speake speaker successful 
3.The sound come out from BT speaker</t>
    </r>
    <r>
      <rPr>
        <sz val="9"/>
        <color rgb="FF000000"/>
        <rFont val="汉仪书宋二KW"/>
        <charset val="134"/>
      </rPr>
      <t>，</t>
    </r>
    <r>
      <rPr>
        <sz val="9"/>
        <color rgb="FF000000"/>
        <rFont val="Arial"/>
        <family val="2"/>
      </rPr>
      <t>sound and video are synchronized and smooth
4.After reboot</t>
    </r>
    <r>
      <rPr>
        <sz val="9"/>
        <color rgb="FF000000"/>
        <rFont val="汉仪书宋二KW"/>
        <charset val="134"/>
      </rPr>
      <t>，</t>
    </r>
    <r>
      <rPr>
        <sz val="9"/>
        <color rgb="FF000000"/>
        <rFont val="Arial"/>
        <family val="2"/>
      </rPr>
      <t>the BT speaker auto connect back
5.After power off BT speaker</t>
    </r>
    <r>
      <rPr>
        <sz val="9"/>
        <color rgb="FF000000"/>
        <rFont val="汉仪书宋二KW"/>
        <charset val="134"/>
      </rPr>
      <t>，</t>
    </r>
    <r>
      <rPr>
        <sz val="9"/>
        <color rgb="FF000000"/>
        <rFont val="Arial"/>
        <family val="2"/>
      </rPr>
      <t>the sound will come out from TV when play music
6.After power on</t>
    </r>
    <r>
      <rPr>
        <sz val="9"/>
        <color rgb="FF000000"/>
        <rFont val="汉仪书宋二KW"/>
        <charset val="134"/>
      </rPr>
      <t>，</t>
    </r>
    <r>
      <rPr>
        <sz val="9"/>
        <color rgb="FF000000"/>
        <rFont val="Arial"/>
        <family val="2"/>
      </rPr>
      <t>the BT speaker auto connect back and sound will come from BT speaker
7.The BT speaker volume will change</t>
    </r>
  </si>
  <si>
    <t>BT_comp_006</t>
  </si>
  <si>
    <t>Paired with GBL-Go BT speaker</t>
  </si>
  <si>
    <t>GBL-Go BT speaker</t>
  </si>
  <si>
    <t>1.GBL-Go BT speake initiate pairing broadcast
2.DUT pair with GBL-Go Play BT speake
3.DUT playback video online
4.Reboot DUT
5.Power off BT speaker 
6.Power on  BT speaker 
7.Change the BT speaker volume</t>
  </si>
  <si>
    <r>
      <rPr>
        <sz val="9"/>
        <color rgb="FF000000"/>
        <rFont val="Arial"/>
        <family val="2"/>
      </rPr>
      <t>1.After step1</t>
    </r>
    <r>
      <rPr>
        <sz val="9"/>
        <color rgb="FF000000"/>
        <rFont val="汉仪书宋二KW"/>
        <charset val="134"/>
      </rPr>
      <t>，</t>
    </r>
    <r>
      <rPr>
        <sz val="9"/>
        <color rgb="FF000000"/>
        <rFont val="Arial"/>
        <family val="2"/>
      </rPr>
      <t>DUT can research GBL-Go BT speaker
2.DUT pair with GBL-Go Play BT speake speaker successful 
3.The sound come out from BT speaker</t>
    </r>
    <r>
      <rPr>
        <sz val="9"/>
        <color rgb="FF000000"/>
        <rFont val="汉仪书宋二KW"/>
        <charset val="134"/>
      </rPr>
      <t>，</t>
    </r>
    <r>
      <rPr>
        <sz val="9"/>
        <color rgb="FF000000"/>
        <rFont val="Arial"/>
        <family val="2"/>
      </rPr>
      <t>sound and video are synchronized and smooth
4.After reboot</t>
    </r>
    <r>
      <rPr>
        <sz val="9"/>
        <color rgb="FF000000"/>
        <rFont val="汉仪书宋二KW"/>
        <charset val="134"/>
      </rPr>
      <t>，</t>
    </r>
    <r>
      <rPr>
        <sz val="9"/>
        <color rgb="FF000000"/>
        <rFont val="Arial"/>
        <family val="2"/>
      </rPr>
      <t>the BT speaker auto connect back
5.After power off BT speaker</t>
    </r>
    <r>
      <rPr>
        <sz val="9"/>
        <color rgb="FF000000"/>
        <rFont val="汉仪书宋二KW"/>
        <charset val="134"/>
      </rPr>
      <t>，</t>
    </r>
    <r>
      <rPr>
        <sz val="9"/>
        <color rgb="FF000000"/>
        <rFont val="Arial"/>
        <family val="2"/>
      </rPr>
      <t>the sound will come out from TV when play music
6.After power on</t>
    </r>
    <r>
      <rPr>
        <sz val="9"/>
        <color rgb="FF000000"/>
        <rFont val="汉仪书宋二KW"/>
        <charset val="134"/>
      </rPr>
      <t>，</t>
    </r>
    <r>
      <rPr>
        <sz val="9"/>
        <color rgb="FF000000"/>
        <rFont val="Arial"/>
        <family val="2"/>
      </rPr>
      <t>the BT speaker auto connect back and sound will come from BT speaker
7.The BT speaker volume will change</t>
    </r>
  </si>
  <si>
    <t>SWPL-215102</t>
  </si>
  <si>
    <t>BT_comp_007</t>
  </si>
  <si>
    <t>Paired with HUAWEI sound Joy-03746 BT speaker</t>
  </si>
  <si>
    <t>HUAWEI sound Joy-03746  BT speaker</t>
  </si>
  <si>
    <t>1.HUAWEI sound Joy-03746  BT speake initiate pairing broadcast
2.DUT pair with HUAWEI sound Joy-03746  Play BT speake
3.DUT playback video online
4.Reboot DUT
5.Power off BT speaker 
6.Power on  BT speaker 
7.Change the BT speaker volume</t>
  </si>
  <si>
    <r>
      <rPr>
        <sz val="9"/>
        <color rgb="FF000000"/>
        <rFont val="Arial"/>
        <family val="2"/>
      </rPr>
      <t>1.After step1</t>
    </r>
    <r>
      <rPr>
        <sz val="9"/>
        <color rgb="FF000000"/>
        <rFont val="汉仪书宋二KW"/>
        <charset val="134"/>
      </rPr>
      <t>，</t>
    </r>
    <r>
      <rPr>
        <sz val="9"/>
        <color rgb="FF000000"/>
        <rFont val="Arial"/>
        <family val="2"/>
      </rPr>
      <t>DUT can research HUAWEI sound Joy-03746  BT speaker
2.DUT pair with HUAWEI sound Joy-03746 BT speake speaker successful 
3.The sound come out from BT speaker</t>
    </r>
    <r>
      <rPr>
        <sz val="9"/>
        <color rgb="FF000000"/>
        <rFont val="汉仪书宋二KW"/>
        <charset val="134"/>
      </rPr>
      <t>，</t>
    </r>
    <r>
      <rPr>
        <sz val="9"/>
        <color rgb="FF000000"/>
        <rFont val="Arial"/>
        <family val="2"/>
      </rPr>
      <t>sound and video are synchronized and smooth
4.After reboot</t>
    </r>
    <r>
      <rPr>
        <sz val="9"/>
        <color rgb="FF000000"/>
        <rFont val="汉仪书宋二KW"/>
        <charset val="134"/>
      </rPr>
      <t>，</t>
    </r>
    <r>
      <rPr>
        <sz val="9"/>
        <color rgb="FF000000"/>
        <rFont val="Arial"/>
        <family val="2"/>
      </rPr>
      <t>the BT speaker auto connect back
5.After power off BT speaker</t>
    </r>
    <r>
      <rPr>
        <sz val="9"/>
        <color rgb="FF000000"/>
        <rFont val="汉仪书宋二KW"/>
        <charset val="134"/>
      </rPr>
      <t>，</t>
    </r>
    <r>
      <rPr>
        <sz val="9"/>
        <color rgb="FF000000"/>
        <rFont val="Arial"/>
        <family val="2"/>
      </rPr>
      <t>the sound will come out from TV when play music
6.After power on</t>
    </r>
    <r>
      <rPr>
        <sz val="9"/>
        <color rgb="FF000000"/>
        <rFont val="汉仪书宋二KW"/>
        <charset val="134"/>
      </rPr>
      <t>，</t>
    </r>
    <r>
      <rPr>
        <sz val="9"/>
        <color rgb="FF000000"/>
        <rFont val="Arial"/>
        <family val="2"/>
      </rPr>
      <t>the BT speaker auto connect back and sound will come from BT speaker
7.The BT speaker volume will change</t>
    </r>
  </si>
  <si>
    <t>BT_comp_008</t>
  </si>
  <si>
    <t>Paired with Edifier M380  BT speaker</t>
  </si>
  <si>
    <t>Edifier M380  BT speaker</t>
  </si>
  <si>
    <t>1.Edifier M3806  BT speake initiate pairing broadcast
2.DUT pair with Edifier M380 BT speake
3.DUT playback video online
4.Reboot DUT
5.Power off BT speaker 
6.Power on  BT speaker 
7.Change the BT speaker volume</t>
  </si>
  <si>
    <r>
      <rPr>
        <sz val="9"/>
        <color rgb="FF000000"/>
        <rFont val="Arial"/>
        <family val="2"/>
      </rPr>
      <t>1.After step1</t>
    </r>
    <r>
      <rPr>
        <sz val="9"/>
        <color rgb="FF000000"/>
        <rFont val="汉仪书宋二KW"/>
        <charset val="134"/>
      </rPr>
      <t>，</t>
    </r>
    <r>
      <rPr>
        <sz val="9"/>
        <color rgb="FF000000"/>
        <rFont val="Arial"/>
        <family val="2"/>
      </rPr>
      <t>DUT can research Edifier M3806  BT speaker
2.DUT pair with Edifier M3806BT speake speaker successful 
3.The sound come out from BT speaker</t>
    </r>
    <r>
      <rPr>
        <sz val="9"/>
        <color rgb="FF000000"/>
        <rFont val="汉仪书宋二KW"/>
        <charset val="134"/>
      </rPr>
      <t>，</t>
    </r>
    <r>
      <rPr>
        <sz val="9"/>
        <color rgb="FF000000"/>
        <rFont val="Arial"/>
        <family val="2"/>
      </rPr>
      <t>sound and video are synchronized and smooth
4.After reboot</t>
    </r>
    <r>
      <rPr>
        <sz val="9"/>
        <color rgb="FF000000"/>
        <rFont val="汉仪书宋二KW"/>
        <charset val="134"/>
      </rPr>
      <t>，</t>
    </r>
    <r>
      <rPr>
        <sz val="9"/>
        <color rgb="FF000000"/>
        <rFont val="Arial"/>
        <family val="2"/>
      </rPr>
      <t>the BT speaker auto connect back
5.After power off BT speaker</t>
    </r>
    <r>
      <rPr>
        <sz val="9"/>
        <color rgb="FF000000"/>
        <rFont val="汉仪书宋二KW"/>
        <charset val="134"/>
      </rPr>
      <t>，</t>
    </r>
    <r>
      <rPr>
        <sz val="9"/>
        <color rgb="FF000000"/>
        <rFont val="Arial"/>
        <family val="2"/>
      </rPr>
      <t>the sound will come out from TV when play music
6.After power on</t>
    </r>
    <r>
      <rPr>
        <sz val="9"/>
        <color rgb="FF000000"/>
        <rFont val="汉仪书宋二KW"/>
        <charset val="134"/>
      </rPr>
      <t>，</t>
    </r>
    <r>
      <rPr>
        <sz val="9"/>
        <color rgb="FF000000"/>
        <rFont val="Arial"/>
        <family val="2"/>
      </rPr>
      <t>the BT speaker auto connect back and sound will come from BT speaker
7.The BT speaker volume will change</t>
    </r>
  </si>
  <si>
    <t>BT_comp_009</t>
  </si>
  <si>
    <t>Paired with Sanag X6S BT speaker</t>
  </si>
  <si>
    <t>Sanag X6S BT speaker</t>
  </si>
  <si>
    <t>1.Sanag X6S  BT speake initiate pairing broadcast
2.DUT pair with Sanag X6S BT speake
3.DUT playback video online
4.Reboot DUT
5.Power off BT speaker 
6.Power on  BT speaker 
7.Change the BT speaker volume</t>
  </si>
  <si>
    <r>
      <rPr>
        <sz val="9"/>
        <color rgb="FF000000"/>
        <rFont val="Arial"/>
        <family val="2"/>
      </rPr>
      <t>1.After step1</t>
    </r>
    <r>
      <rPr>
        <sz val="9"/>
        <color rgb="FF000000"/>
        <rFont val="汉仪书宋二KW"/>
        <charset val="134"/>
      </rPr>
      <t>，</t>
    </r>
    <r>
      <rPr>
        <sz val="9"/>
        <color rgb="FF000000"/>
        <rFont val="Arial"/>
        <family val="2"/>
      </rPr>
      <t>DUT can research Sanag X6S  BT speaker
2.DUT pair with Sanag X6S BT speake speaker successful 
3.The sound come out from BT speaker</t>
    </r>
    <r>
      <rPr>
        <sz val="9"/>
        <color rgb="FF000000"/>
        <rFont val="汉仪书宋二KW"/>
        <charset val="134"/>
      </rPr>
      <t>，</t>
    </r>
    <r>
      <rPr>
        <sz val="9"/>
        <color rgb="FF000000"/>
        <rFont val="Arial"/>
        <family val="2"/>
      </rPr>
      <t>sound and video are synchronized and smooth
4.After reboot</t>
    </r>
    <r>
      <rPr>
        <sz val="9"/>
        <color rgb="FF000000"/>
        <rFont val="汉仪书宋二KW"/>
        <charset val="134"/>
      </rPr>
      <t>，</t>
    </r>
    <r>
      <rPr>
        <sz val="9"/>
        <color rgb="FF000000"/>
        <rFont val="Arial"/>
        <family val="2"/>
      </rPr>
      <t>the BT speaker auto connect back
5.After power off BT speaker</t>
    </r>
    <r>
      <rPr>
        <sz val="9"/>
        <color rgb="FF000000"/>
        <rFont val="汉仪书宋二KW"/>
        <charset val="134"/>
      </rPr>
      <t>，</t>
    </r>
    <r>
      <rPr>
        <sz val="9"/>
        <color rgb="FF000000"/>
        <rFont val="Arial"/>
        <family val="2"/>
      </rPr>
      <t>the sound will come out from TV when play music
6.After power on</t>
    </r>
    <r>
      <rPr>
        <sz val="9"/>
        <color rgb="FF000000"/>
        <rFont val="汉仪书宋二KW"/>
        <charset val="134"/>
      </rPr>
      <t>，</t>
    </r>
    <r>
      <rPr>
        <sz val="9"/>
        <color rgb="FF000000"/>
        <rFont val="Arial"/>
        <family val="2"/>
      </rPr>
      <t>the BT speaker auto connect back and sound will come from BT speaker
7.The BT speaker volume will change</t>
    </r>
  </si>
  <si>
    <t>BT_comp_010</t>
  </si>
  <si>
    <t>Pairing with Xiaomi Buds 5 BT headset</t>
  </si>
  <si>
    <t>BT headset initiates paired broadcast</t>
  </si>
  <si>
    <t>1.BT headset initiate pairing broadcast
2.DUT pair with BT headset
3.DUT playback video online
4.Reboot DUT
5.Power off BT headset 
6.Power on BT headset
7.Change the BT headset volume</t>
  </si>
  <si>
    <r>
      <rPr>
        <sz val="9"/>
        <color rgb="FF000000"/>
        <rFont val="Arial"/>
        <family val="2"/>
      </rPr>
      <t>1.After step1</t>
    </r>
    <r>
      <rPr>
        <sz val="9"/>
        <color rgb="FF000000"/>
        <rFont val="汉仪书宋二KW"/>
        <charset val="134"/>
      </rPr>
      <t>，</t>
    </r>
    <r>
      <rPr>
        <sz val="9"/>
        <color rgb="FF000000"/>
        <rFont val="Arial"/>
        <family val="2"/>
      </rPr>
      <t>DUT can research BT headset
2.DUT pair with Xiaomi Buds 5 headset successful 
3.The sound come out from Xiaomi Buds 5 headset</t>
    </r>
    <r>
      <rPr>
        <sz val="9"/>
        <color rgb="FF000000"/>
        <rFont val="汉仪书宋二KW"/>
        <charset val="134"/>
      </rPr>
      <t>，</t>
    </r>
    <r>
      <rPr>
        <sz val="9"/>
        <color rgb="FF000000"/>
        <rFont val="Arial"/>
        <family val="2"/>
      </rPr>
      <t>sound and video are synchronized and smooth
4.After reboot</t>
    </r>
    <r>
      <rPr>
        <sz val="9"/>
        <color rgb="FF000000"/>
        <rFont val="汉仪书宋二KW"/>
        <charset val="134"/>
      </rPr>
      <t>，</t>
    </r>
    <r>
      <rPr>
        <sz val="9"/>
        <color rgb="FF000000"/>
        <rFont val="Arial"/>
        <family val="2"/>
      </rPr>
      <t>the BT headset auto connect back
5.After power off BT headset</t>
    </r>
    <r>
      <rPr>
        <sz val="9"/>
        <color rgb="FF000000"/>
        <rFont val="汉仪书宋二KW"/>
        <charset val="134"/>
      </rPr>
      <t>，</t>
    </r>
    <r>
      <rPr>
        <sz val="9"/>
        <color rgb="FF000000"/>
        <rFont val="Arial"/>
        <family val="2"/>
      </rPr>
      <t>the sound will come out from TV when play music
6.After power on</t>
    </r>
    <r>
      <rPr>
        <sz val="9"/>
        <color rgb="FF000000"/>
        <rFont val="汉仪书宋二KW"/>
        <charset val="134"/>
      </rPr>
      <t>，</t>
    </r>
    <r>
      <rPr>
        <sz val="9"/>
        <color rgb="FF000000"/>
        <rFont val="Arial"/>
        <family val="2"/>
      </rPr>
      <t>the BT speaker auto connect back and sound will come from BT speaker
7.The BT headset volume will change</t>
    </r>
  </si>
  <si>
    <t>BT_comp_011</t>
  </si>
  <si>
    <t>Pairing with AirPods  BT headset</t>
  </si>
  <si>
    <r>
      <rPr>
        <sz val="9"/>
        <color rgb="FF000000"/>
        <rFont val="Arial"/>
        <family val="2"/>
      </rPr>
      <t>1.After step1</t>
    </r>
    <r>
      <rPr>
        <sz val="9"/>
        <color rgb="FF000000"/>
        <rFont val="宋体"/>
        <family val="3"/>
        <charset val="134"/>
      </rPr>
      <t>，</t>
    </r>
    <r>
      <rPr>
        <sz val="9"/>
        <color rgb="FF000000"/>
        <rFont val="Arial"/>
        <family val="2"/>
      </rPr>
      <t>DUT can research BT headset
2.DUT pair with AirPods headset successful 
3.The sound come out from AirPods headset</t>
    </r>
    <r>
      <rPr>
        <sz val="9"/>
        <color rgb="FF000000"/>
        <rFont val="宋体"/>
        <family val="3"/>
        <charset val="134"/>
      </rPr>
      <t>，</t>
    </r>
    <r>
      <rPr>
        <sz val="9"/>
        <color rgb="FF000000"/>
        <rFont val="Arial"/>
        <family val="2"/>
      </rPr>
      <t>sound and video are synchronized and smooth
4.After reboot</t>
    </r>
    <r>
      <rPr>
        <sz val="9"/>
        <color rgb="FF000000"/>
        <rFont val="宋体"/>
        <family val="3"/>
        <charset val="134"/>
      </rPr>
      <t>，</t>
    </r>
    <r>
      <rPr>
        <sz val="9"/>
        <color rgb="FF000000"/>
        <rFont val="Arial"/>
        <family val="2"/>
      </rPr>
      <t>the BT headset auto connect back
5.After power off BT headset</t>
    </r>
    <r>
      <rPr>
        <sz val="9"/>
        <color rgb="FF000000"/>
        <rFont val="宋体"/>
        <family val="3"/>
        <charset val="134"/>
      </rPr>
      <t>，</t>
    </r>
    <r>
      <rPr>
        <sz val="9"/>
        <color rgb="FF000000"/>
        <rFont val="Arial"/>
        <family val="2"/>
      </rPr>
      <t>the sound will come out from TV when play music
6.After power on</t>
    </r>
    <r>
      <rPr>
        <sz val="9"/>
        <color rgb="FF000000"/>
        <rFont val="宋体"/>
        <family val="3"/>
        <charset val="134"/>
      </rPr>
      <t>，</t>
    </r>
    <r>
      <rPr>
        <sz val="9"/>
        <color rgb="FF000000"/>
        <rFont val="Arial"/>
        <family val="2"/>
      </rPr>
      <t>the BT speaker auto connect back and sound will come from BT speaker
7.The BT headset volume will change</t>
    </r>
  </si>
  <si>
    <t>BT_comp_012</t>
  </si>
  <si>
    <t>Pairing with JBL TUNE230NC TWS  BT headset</t>
  </si>
  <si>
    <r>
      <rPr>
        <sz val="9"/>
        <color rgb="FF000000"/>
        <rFont val="Arial"/>
      </rPr>
      <t>1.After step1</t>
    </r>
    <r>
      <rPr>
        <sz val="9"/>
        <color rgb="FF000000"/>
        <rFont val="宋体"/>
      </rPr>
      <t>，</t>
    </r>
    <r>
      <rPr>
        <sz val="9"/>
        <color rgb="FF000000"/>
        <rFont val="Arial"/>
      </rPr>
      <t>DUT can research BT headset
2.DUT pair with BT headset successful 
3.The sound come out from BT headset</t>
    </r>
    <r>
      <rPr>
        <sz val="9"/>
        <color rgb="FF000000"/>
        <rFont val="宋体"/>
      </rPr>
      <t>，</t>
    </r>
    <r>
      <rPr>
        <sz val="9"/>
        <color rgb="FF000000"/>
        <rFont val="Arial"/>
      </rPr>
      <t>sound and video are synchronized and smooth
4.After reboot</t>
    </r>
    <r>
      <rPr>
        <sz val="9"/>
        <color rgb="FF000000"/>
        <rFont val="宋体"/>
      </rPr>
      <t>，</t>
    </r>
    <r>
      <rPr>
        <sz val="9"/>
        <color rgb="FF000000"/>
        <rFont val="Arial"/>
      </rPr>
      <t>the BT headset auto connect back
5.After power off BT headset</t>
    </r>
    <r>
      <rPr>
        <sz val="9"/>
        <color rgb="FF000000"/>
        <rFont val="宋体"/>
      </rPr>
      <t>，</t>
    </r>
    <r>
      <rPr>
        <sz val="9"/>
        <color rgb="FF000000"/>
        <rFont val="Arial"/>
      </rPr>
      <t>the sound will come out from TV when play music
6.After power on</t>
    </r>
    <r>
      <rPr>
        <sz val="9"/>
        <color rgb="FF000000"/>
        <rFont val="宋体"/>
      </rPr>
      <t>，</t>
    </r>
    <r>
      <rPr>
        <sz val="9"/>
        <color rgb="FF000000"/>
        <rFont val="Arial"/>
      </rPr>
      <t>the BT speaker auto connect back and sound will come from BT speaker
7.The BT headset volume will change</t>
    </r>
  </si>
  <si>
    <t>SWPL-214938回连成功声音一个大一个偏小，RD怀疑是耳机本身问题</t>
  </si>
  <si>
    <t>BT_comp_013</t>
  </si>
  <si>
    <t>Pairing with Sony WH-1000XM4  BT headset</t>
  </si>
  <si>
    <r>
      <rPr>
        <sz val="9"/>
        <color rgb="FF000000"/>
        <rFont val="Arial"/>
        <family val="2"/>
      </rPr>
      <t>1.After step1</t>
    </r>
    <r>
      <rPr>
        <sz val="9"/>
        <color rgb="FF000000"/>
        <rFont val="宋体"/>
        <family val="3"/>
        <charset val="134"/>
      </rPr>
      <t>，</t>
    </r>
    <r>
      <rPr>
        <sz val="9"/>
        <color rgb="FF000000"/>
        <rFont val="Arial"/>
        <family val="2"/>
      </rPr>
      <t>DUT can research BT headset
2.DUT pair with BT headset successful 
3.The sound come out from BT headset</t>
    </r>
    <r>
      <rPr>
        <sz val="9"/>
        <color rgb="FF000000"/>
        <rFont val="宋体"/>
        <family val="3"/>
        <charset val="134"/>
      </rPr>
      <t>，</t>
    </r>
    <r>
      <rPr>
        <sz val="9"/>
        <color rgb="FF000000"/>
        <rFont val="Arial"/>
        <family val="2"/>
      </rPr>
      <t>sound and video are synchronized and smooth
4.After reboot</t>
    </r>
    <r>
      <rPr>
        <sz val="9"/>
        <color rgb="FF000000"/>
        <rFont val="宋体"/>
        <family val="3"/>
        <charset val="134"/>
      </rPr>
      <t>，</t>
    </r>
    <r>
      <rPr>
        <sz val="9"/>
        <color rgb="FF000000"/>
        <rFont val="Arial"/>
        <family val="2"/>
      </rPr>
      <t>the BT headset auto connect back
5.After power off BT headset</t>
    </r>
    <r>
      <rPr>
        <sz val="9"/>
        <color rgb="FF000000"/>
        <rFont val="宋体"/>
        <family val="3"/>
        <charset val="134"/>
      </rPr>
      <t>，</t>
    </r>
    <r>
      <rPr>
        <sz val="9"/>
        <color rgb="FF000000"/>
        <rFont val="Arial"/>
        <family val="2"/>
      </rPr>
      <t>the sound will come out from TV when play music
6.After power on</t>
    </r>
    <r>
      <rPr>
        <sz val="9"/>
        <color rgb="FF000000"/>
        <rFont val="宋体"/>
        <family val="3"/>
        <charset val="134"/>
      </rPr>
      <t>，</t>
    </r>
    <r>
      <rPr>
        <sz val="9"/>
        <color rgb="FF000000"/>
        <rFont val="Arial"/>
        <family val="2"/>
      </rPr>
      <t>the BT speaker auto connect back and sound will come from BT speaker
7.The BT headset volume will change</t>
    </r>
  </si>
  <si>
    <t>SWPL-214914</t>
  </si>
  <si>
    <t>BT_comp_014</t>
  </si>
  <si>
    <t>Pairing withSoundcore Liberty 4 NC  BT headset</t>
  </si>
  <si>
    <t>SWPL-214898</t>
  </si>
  <si>
    <t>BT_comp_015</t>
  </si>
  <si>
    <t>Pairing with JBLT280TWS X2  BT headset</t>
  </si>
  <si>
    <t>BT_comp_016</t>
  </si>
  <si>
    <t>Pairing with Bose QC Earbuds II  BT headset</t>
  </si>
  <si>
    <t>BT_comp_017</t>
  </si>
  <si>
    <t>Pairing with RAPOO BT keyboard</t>
  </si>
  <si>
    <t>BT keyboard initiates paired broadcast</t>
  </si>
  <si>
    <t>1.Platform paired with RAPOO 3.0KB BT keyboard
2.Platform paired with RAPOO 5.0KB BT keyboard</t>
  </si>
  <si>
    <t>1.Pair successful  
2.BT keyboard function is OK</t>
  </si>
  <si>
    <t>controller 还不支持KeyBoard和Mouse</t>
  </si>
  <si>
    <t>BT_comp_018</t>
  </si>
  <si>
    <t>Pairing with RAPOO BT mouse</t>
  </si>
  <si>
    <t>BT mouse initiates paired broadcast</t>
  </si>
  <si>
    <t>1.Platform paired with RAPOO 3.0mS BT keyboard
2.Platform paired with RAPOO 5.0ms BT keyboard</t>
  </si>
  <si>
    <t>1.Pair successful  
2.BT mouse function is OK</t>
  </si>
  <si>
    <t>BT_comp_019</t>
  </si>
  <si>
    <t>Pairing with 小米游戏手柄BT handle</t>
  </si>
  <si>
    <t>BT handle initiates paired broadcast</t>
  </si>
  <si>
    <t>1.DUT pair will Xiaomi BT handle
2.Using  the  BT handle  to  play Redball 4 game  for  10 mins</t>
  </si>
  <si>
    <t>1.DUT pair with  BT handle succefull
2.Playing  game smoothly and BT handle not appear auto disconnect</t>
  </si>
  <si>
    <t>SWPL-214437</t>
  </si>
  <si>
    <t>controller 还不支持BT Handle</t>
  </si>
  <si>
    <t>BT_comp_020</t>
  </si>
  <si>
    <t>Pairing with ASUS Gamepad  BT handle</t>
  </si>
  <si>
    <t>1.DUT pair will ASUS Gamepad BT handle
2.Using  the  BT handle  to  play Redball 4 game  for  10 mins</t>
  </si>
  <si>
    <t>BT_comp_021</t>
  </si>
  <si>
    <t>Pairing with G10 BT remote</t>
  </si>
  <si>
    <t>G10 initiates paired broadcast</t>
  </si>
  <si>
    <t>1.DUT pair will G10
2.Press every key on G10
3.Shutdown and deep sleep status ,press power key</t>
  </si>
  <si>
    <t>1.G10 every key working well
2.DUT can resume</t>
  </si>
  <si>
    <t>BT_comp_022</t>
  </si>
  <si>
    <t>Pairing with G20 BT remote</t>
  </si>
  <si>
    <t>G20 initiates paired broadcast</t>
  </si>
  <si>
    <t>1.DUT pair will G20
2.Press every key on G20
3.Shutdown and deep sleep status ,press power key</t>
  </si>
  <si>
    <t>1.G20 every key working well
2.DUT can resume</t>
  </si>
  <si>
    <t>BT_comp_023</t>
  </si>
  <si>
    <t>Pairing with G21 BT remote</t>
  </si>
  <si>
    <t>G21 initiates paired broadcast</t>
  </si>
  <si>
    <t>1.DUT pair will G21
2.Press every key on G21
3.Shutdown and deep sleep status ,press power key</t>
  </si>
  <si>
    <t>1.G21 every key working well
2.DUT can resume</t>
  </si>
  <si>
    <t>BT_comp_024</t>
  </si>
  <si>
    <t>Pairing with B12 BT remote</t>
  </si>
  <si>
    <t>B12 initiates paired broadcast</t>
  </si>
  <si>
    <t>1.DUT pair will B12
2.Press every key on B12
3.Shutdown and deep sleep status ,press power key</t>
  </si>
  <si>
    <t>1.B12 every key working well
2.DUT can resume</t>
  </si>
  <si>
    <t>Wifi吞吐量测试</t>
  </si>
  <si>
    <t>测试平台</t>
  </si>
  <si>
    <t>A311D2_AN400+W2 PCIE</t>
  </si>
  <si>
    <t>测试人</t>
  </si>
  <si>
    <t>2.4G wifi 吞吐量测试</t>
  </si>
  <si>
    <t>测试用例说明：
1.测试AP:华硕 AU68
2.测试的步聚是：
a)将iperf.exe程序拷贝存放在PC端的D盘根目录下，并且点击程序打开；
b)在平台上安装iPerf.apk，打开后输入-s并点打开, PC端输入iperf -c 192.168.xxx.xxx -i 2 -w 1M -t 60的指令。
c)点击开始测试，测试完成后查看PC端界面显示的数据值即可。
d)PC和平台必须在同一个局域网中；
3. 由于不同wifi环境、不同地点、不同时间段测到的结果可能有较大相差，所以做吞吐量测试时，最好拿一个平时测得感觉比较好的样品作Golden Sample来加以对比测试。</t>
  </si>
  <si>
    <t>干净环境 2.4G吞吐量</t>
  </si>
  <si>
    <t>Priority
(P0/P1/P2)</t>
  </si>
  <si>
    <t>测试环境说明</t>
  </si>
  <si>
    <t>测试用具</t>
  </si>
  <si>
    <t>带宽</t>
  </si>
  <si>
    <t>WIFI模式</t>
  </si>
  <si>
    <t>AP通道</t>
  </si>
  <si>
    <t>result</t>
  </si>
  <si>
    <t>2.4G
深圳6楼屏蔽房
单位：Mbits/sec</t>
  </si>
  <si>
    <t>华硕 AX86U</t>
  </si>
  <si>
    <t>干净环境 2.4G+BT+BTspeaker吞吐量</t>
  </si>
  <si>
    <t>干扰环境 2.4G吞吐量</t>
  </si>
  <si>
    <t>2.4G
深圳6楼办公环境
单位：Mbits/sec</t>
  </si>
  <si>
    <t>5G wifi 吞吐量测试</t>
  </si>
  <si>
    <t>干净环境 5G吞吐量</t>
  </si>
  <si>
    <t>5G
深圳6楼屏蔽房
单位：Mbits/sec</t>
  </si>
  <si>
    <t>干扰环境 5G吞吐量</t>
  </si>
  <si>
    <t>5G
深圳6楼办公环境
单位：Mbits/sec</t>
  </si>
  <si>
    <t>WiFi&amp;BT Stability Test</t>
  </si>
  <si>
    <t>Test Standard
num*time</t>
  </si>
  <si>
    <t>stability_001</t>
  </si>
  <si>
    <r>
      <rPr>
        <sz val="9"/>
        <color theme="1"/>
        <rFont val="Arial"/>
        <family val="2"/>
      </rPr>
      <t>Ping package test</t>
    </r>
    <r>
      <rPr>
        <sz val="9"/>
        <color theme="1"/>
        <rFont val="宋体"/>
        <family val="3"/>
        <charset val="134"/>
      </rPr>
      <t>（</t>
    </r>
    <r>
      <rPr>
        <sz val="9"/>
        <color theme="1"/>
        <rFont val="Arial"/>
        <family val="2"/>
      </rPr>
      <t xml:space="preserve">2.4G </t>
    </r>
    <r>
      <rPr>
        <sz val="9"/>
        <color theme="1"/>
        <rFont val="宋体"/>
        <family val="3"/>
        <charset val="134"/>
      </rPr>
      <t>）</t>
    </r>
  </si>
  <si>
    <t>1.Install the ATTKPING.exe tool on your PC
2.Test platform and PC connected to the same LAN through a router</t>
  </si>
  <si>
    <t>1.PC and platform connect the same 2.4G AP
2.Open ATTKPING.exe on the PC, enter the IP address of the platform under test, click Start to start the ping test immediately.</t>
  </si>
  <si>
    <r>
      <rPr>
        <sz val="9"/>
        <color theme="1"/>
        <rFont val="Arial"/>
        <family val="2"/>
      </rPr>
      <t>After testing 12h</t>
    </r>
    <r>
      <rPr>
        <sz val="9"/>
        <color theme="1"/>
        <rFont val="宋体"/>
        <family val="3"/>
        <charset val="134"/>
      </rPr>
      <t>，</t>
    </r>
    <r>
      <rPr>
        <sz val="9"/>
        <color theme="1"/>
        <rFont val="Arial"/>
        <family val="2"/>
      </rPr>
      <t>Packet loss rate is less than 5%</t>
    </r>
  </si>
  <si>
    <t>5pcs*12H</t>
  </si>
  <si>
    <t>stability_002</t>
  </si>
  <si>
    <r>
      <rPr>
        <sz val="9"/>
        <color theme="1"/>
        <rFont val="Arial"/>
        <family val="2"/>
      </rPr>
      <t>Ping package test</t>
    </r>
    <r>
      <rPr>
        <sz val="9"/>
        <color theme="1"/>
        <rFont val="宋体"/>
        <family val="3"/>
        <charset val="134"/>
      </rPr>
      <t>（</t>
    </r>
    <r>
      <rPr>
        <sz val="9"/>
        <color theme="1"/>
        <rFont val="Arial"/>
        <family val="2"/>
      </rPr>
      <t xml:space="preserve">5G </t>
    </r>
    <r>
      <rPr>
        <sz val="9"/>
        <color theme="1"/>
        <rFont val="宋体"/>
        <family val="3"/>
        <charset val="134"/>
      </rPr>
      <t>）</t>
    </r>
  </si>
  <si>
    <t>1.PC and platform connect the same 5G AP
2.Open ATTKPING.exe on the PC, enter the IP address of the platform under test, click Start to start the ping test immediately.</t>
  </si>
  <si>
    <t>stability_003</t>
  </si>
  <si>
    <t>Turn on/off wifi test</t>
  </si>
  <si>
    <t>1.Platform enters system running OK
2.Ensure uninterrupted test environment</t>
  </si>
  <si>
    <t>1.DUT connect with an AP
2.Input 'while true; do svc wifi enable; sleep 20; svc wifi disable; sleep 20; done' in serial</t>
  </si>
  <si>
    <r>
      <rPr>
        <sz val="9"/>
        <color rgb="FF000000"/>
        <rFont val="Arial"/>
        <family val="2"/>
      </rPr>
      <t>After testing 72h</t>
    </r>
    <r>
      <rPr>
        <sz val="9"/>
        <color rgb="FF000000"/>
        <rFont val="宋体"/>
        <family val="3"/>
        <charset val="134"/>
      </rPr>
      <t>，</t>
    </r>
    <r>
      <rPr>
        <sz val="9"/>
        <color rgb="FF000000"/>
        <rFont val="Arial"/>
        <family val="2"/>
      </rPr>
      <t>turn on and off WiFi is OK</t>
    </r>
    <r>
      <rPr>
        <sz val="9"/>
        <color rgb="FF000000"/>
        <rFont val="宋体"/>
        <family val="3"/>
        <charset val="134"/>
      </rPr>
      <t>，</t>
    </r>
    <r>
      <rPr>
        <sz val="9"/>
        <color rgb="FF000000"/>
        <rFont val="Arial"/>
        <family val="2"/>
      </rPr>
      <t>wifi function working well</t>
    </r>
  </si>
  <si>
    <t>5pcs*72H</t>
  </si>
  <si>
    <t>stability_004</t>
  </si>
  <si>
    <t>Turn on/off hotspot</t>
  </si>
  <si>
    <t>1.DUT connect with an AP
2.Input 'while true; do cmd wifi start-softap ap_test wpa2 12345678 -b 2; sleep 20;  cmd wifi stop-softap;sleep 20; done' in serial</t>
  </si>
  <si>
    <r>
      <rPr>
        <sz val="9"/>
        <color rgb="FF000000"/>
        <rFont val="Arial"/>
        <family val="2"/>
      </rPr>
      <t>After testing 12h</t>
    </r>
    <r>
      <rPr>
        <sz val="9"/>
        <color rgb="FF000000"/>
        <rFont val="宋体"/>
        <family val="3"/>
        <charset val="134"/>
      </rPr>
      <t>，</t>
    </r>
    <r>
      <rPr>
        <sz val="9"/>
        <color rgb="FF000000"/>
        <rFont val="Arial"/>
        <family val="2"/>
      </rPr>
      <t>turn on and off softAP is OK</t>
    </r>
    <r>
      <rPr>
        <sz val="9"/>
        <color rgb="FF000000"/>
        <rFont val="宋体"/>
        <family val="3"/>
        <charset val="134"/>
      </rPr>
      <t>，</t>
    </r>
    <r>
      <rPr>
        <sz val="9"/>
        <color rgb="FF000000"/>
        <rFont val="Arial"/>
        <family val="2"/>
      </rPr>
      <t>wifi function working well</t>
    </r>
  </si>
  <si>
    <t>stability_005</t>
  </si>
  <si>
    <t>Auto  switch AP test</t>
  </si>
  <si>
    <t>1.DUT connect with an AP
2.Input 'while true; do cmd wifi connect-network ASUS_5G wpa2 12345678; sleep 12; cmd wifi connect-network ASUS_2.4G wpa2 12345678;sleep 12; done' in serial</t>
  </si>
  <si>
    <r>
      <rPr>
        <sz val="9"/>
        <color rgb="FF000000"/>
        <rFont val="Arial"/>
        <family val="2"/>
      </rPr>
      <t>After testing 72h</t>
    </r>
    <r>
      <rPr>
        <sz val="9"/>
        <color rgb="FF000000"/>
        <rFont val="宋体"/>
        <family val="3"/>
        <charset val="134"/>
      </rPr>
      <t>，</t>
    </r>
    <r>
      <rPr>
        <sz val="9"/>
        <color rgb="FF000000"/>
        <rFont val="Arial"/>
        <family val="2"/>
      </rPr>
      <t>wifi function working well</t>
    </r>
  </si>
  <si>
    <t>stability_006</t>
  </si>
  <si>
    <t>turn on/off bt</t>
  </si>
  <si>
    <t>1.DUT pair with G20 BT remote</t>
  </si>
  <si>
    <r>
      <rPr>
        <sz val="9"/>
        <color theme="1"/>
        <rFont val="Arial"/>
        <family val="2"/>
      </rPr>
      <t>1.Input 'while true; do svc bluetooth enable; sleep 20; svc bluetooth disable; sleep 20; done'in serial
2.After test 12hours</t>
    </r>
    <r>
      <rPr>
        <sz val="9"/>
        <color theme="1"/>
        <rFont val="宋体"/>
        <family val="3"/>
        <charset val="134"/>
      </rPr>
      <t>，</t>
    </r>
    <r>
      <rPr>
        <sz val="9"/>
        <color theme="1"/>
        <rFont val="Arial"/>
        <family val="2"/>
      </rPr>
      <t>check the BT function</t>
    </r>
  </si>
  <si>
    <t>BT function working well</t>
  </si>
  <si>
    <t>stability_007</t>
  </si>
  <si>
    <t>BT speaker reconnect back after suspend</t>
  </si>
  <si>
    <t>Pair with xiaomi BT Speaker</t>
  </si>
  <si>
    <t>1.Paired with xiaomi BT speaker
2.Stress Test as https://confluence.amlogic.com/pages/viewpage.action?pageId=417253220</t>
  </si>
  <si>
    <t>After Test 60hours  BT speaker can reconnect back normal</t>
  </si>
  <si>
    <t>stability_008</t>
  </si>
  <si>
    <t>Many times press BT remote power button</t>
  </si>
  <si>
    <t>1.Street press power key on G20 for 60hours</t>
  </si>
  <si>
    <t>bt remote working well</t>
  </si>
  <si>
    <t>stability_009</t>
  </si>
  <si>
    <t>BT and 2.4G wifi working at same time</t>
  </si>
  <si>
    <t>1.DUT pair with G20 BT remote and BT speaker
2.DUT connect with 2.4G AP</t>
  </si>
  <si>
    <t>1.Open YouTube and playback video online for 72hours</t>
  </si>
  <si>
    <t>The sound is smoothly and wifi keep connecting</t>
  </si>
  <si>
    <t>stability_010</t>
  </si>
  <si>
    <t>BT  and 5G wifi working at same time</t>
  </si>
  <si>
    <t>1.DUT pair with G20 BT remote and BT speaker
2.DUT connect with 5G AP</t>
  </si>
  <si>
    <t>stability_011</t>
  </si>
  <si>
    <t>Optimized mode Autoreboot + ping baidu test</t>
  </si>
  <si>
    <r>
      <rPr>
        <sz val="9"/>
        <color theme="1"/>
        <rFont val="Arial"/>
        <family val="2"/>
      </rPr>
      <t xml:space="preserve">1.Set DUT to Optimized mode and Install the Autoreboot.apk
2.Connect an AP
3.Open the autoreboot.apk </t>
    </r>
    <r>
      <rPr>
        <sz val="9"/>
        <color theme="1"/>
        <rFont val="宋体"/>
        <family val="3"/>
        <charset val="134"/>
      </rPr>
      <t>，</t>
    </r>
    <r>
      <rPr>
        <sz val="9"/>
        <color theme="1"/>
        <rFont val="Arial"/>
        <family val="2"/>
      </rPr>
      <t>run autoreboot+ping baidu</t>
    </r>
  </si>
  <si>
    <r>
      <rPr>
        <sz val="9"/>
        <color theme="1"/>
        <rFont val="Arial"/>
        <family val="2"/>
      </rPr>
      <t>After testing 72h</t>
    </r>
    <r>
      <rPr>
        <sz val="9"/>
        <color theme="1"/>
        <rFont val="宋体"/>
        <family val="3"/>
        <charset val="134"/>
      </rPr>
      <t>，</t>
    </r>
    <r>
      <rPr>
        <sz val="9"/>
        <color theme="1"/>
        <rFont val="Arial"/>
        <family val="2"/>
      </rPr>
      <t xml:space="preserve"> system is running OK</t>
    </r>
  </si>
  <si>
    <t>stability_012</t>
  </si>
  <si>
    <t>Low mode Autoreboot + ping baidu test</t>
  </si>
  <si>
    <r>
      <rPr>
        <sz val="9"/>
        <color rgb="FFFF0000"/>
        <rFont val="Arial"/>
        <family val="2"/>
      </rPr>
      <t xml:space="preserve">1.Set DUT to Low mode and Install the Autoreboot.apk
2.Connect an AP
3.Open the autoreboot.apk </t>
    </r>
    <r>
      <rPr>
        <sz val="9"/>
        <color rgb="FFFF0000"/>
        <rFont val="宋体"/>
        <family val="3"/>
        <charset val="134"/>
      </rPr>
      <t>，</t>
    </r>
    <r>
      <rPr>
        <sz val="9"/>
        <color rgb="FFFF0000"/>
        <rFont val="Arial"/>
        <family val="2"/>
      </rPr>
      <t>run autoreboot+ping baidu</t>
    </r>
  </si>
  <si>
    <r>
      <rPr>
        <sz val="9"/>
        <color rgb="FFFF0000"/>
        <rFont val="Arial"/>
        <family val="2"/>
      </rPr>
      <t>After testing 72h</t>
    </r>
    <r>
      <rPr>
        <sz val="9"/>
        <color rgb="FFFF0000"/>
        <rFont val="宋体"/>
        <family val="3"/>
        <charset val="134"/>
      </rPr>
      <t>，</t>
    </r>
    <r>
      <rPr>
        <sz val="9"/>
        <color rgb="FFFF0000"/>
        <rFont val="Arial"/>
        <family val="2"/>
      </rPr>
      <t xml:space="preserve"> system is running OK</t>
    </r>
  </si>
  <si>
    <t>stability_013</t>
  </si>
  <si>
    <t>Optimized  mode Autosuspend + ping baidu test</t>
  </si>
  <si>
    <t>1.Set DUT to Optimized  mode and Install the Autsuspend.apk
2.Connect an AP and pair with G20 BT remote
3.Running the  Autsuspend+ping baidu.apk</t>
  </si>
  <si>
    <r>
      <rPr>
        <sz val="9"/>
        <color theme="1"/>
        <rFont val="Arial"/>
        <family val="2"/>
      </rPr>
      <t>After testing 72h</t>
    </r>
    <r>
      <rPr>
        <sz val="9"/>
        <color theme="1"/>
        <rFont val="宋体"/>
        <family val="3"/>
        <charset val="134"/>
      </rPr>
      <t>，</t>
    </r>
    <r>
      <rPr>
        <sz val="9"/>
        <color theme="1"/>
        <rFont val="Arial"/>
        <family val="2"/>
      </rPr>
      <t xml:space="preserve"> wifi function running OK and BT working well</t>
    </r>
  </si>
  <si>
    <t>10pcs*72H</t>
  </si>
  <si>
    <t>stability_014</t>
  </si>
  <si>
    <t>Low mode Autosuspend + ping baidu test</t>
  </si>
  <si>
    <t>1.Set DUT to Low mode and Install the Autsuspend.apk
2.Connect an AP and pair with G20 BT remote
3.Running the  Autsuspend+ping baidu.apk</t>
  </si>
  <si>
    <r>
      <rPr>
        <sz val="9"/>
        <color rgb="FFFF0000"/>
        <rFont val="Arial"/>
        <family val="2"/>
      </rPr>
      <t>After testing 72h</t>
    </r>
    <r>
      <rPr>
        <sz val="9"/>
        <color rgb="FFFF0000"/>
        <rFont val="宋体"/>
        <family val="3"/>
        <charset val="134"/>
      </rPr>
      <t>，</t>
    </r>
    <r>
      <rPr>
        <sz val="9"/>
        <color rgb="FFFF0000"/>
        <rFont val="Arial"/>
        <family val="2"/>
      </rPr>
      <t xml:space="preserve"> wifi function running OK and BT working well</t>
    </r>
  </si>
  <si>
    <t>stability_015</t>
  </si>
  <si>
    <t>Optimized  mode Long time standby</t>
  </si>
  <si>
    <t>Pair with G20 BT remote and connect with AP</t>
  </si>
  <si>
    <t>1.DUT set to Optimized  mode and Paired with G20 BT remote
2.DUT connect with VPN AP
3.DUT enter deep sleep  for 72hours 
4.After 72hours  using G20 BT  remote  to  wake up the DUT</t>
  </si>
  <si>
    <t>1.G20 BT remote can resume the DUT through BT and G20 every button working well，AP connect normal</t>
  </si>
  <si>
    <t>stability_016</t>
  </si>
  <si>
    <t>Low  mode Long time standby</t>
  </si>
  <si>
    <r>
      <rPr>
        <sz val="9"/>
        <color rgb="FFFF0000"/>
        <rFont val="Arial"/>
        <family val="2"/>
      </rPr>
      <t>1.G20 BT remote can resume the DUT through BT and G20 every button working well</t>
    </r>
    <r>
      <rPr>
        <sz val="9"/>
        <color rgb="FFFF0000"/>
        <rFont val="汉仪书宋二KW"/>
        <charset val="134"/>
      </rPr>
      <t>，</t>
    </r>
    <r>
      <rPr>
        <sz val="9"/>
        <color rgb="FFFF0000"/>
        <rFont val="Arial"/>
        <family val="2"/>
      </rPr>
      <t>AP connect normal</t>
    </r>
  </si>
  <si>
    <t>RVR&amp;RVO Test</t>
  </si>
  <si>
    <t>RVR performance</t>
  </si>
  <si>
    <r>
      <rPr>
        <sz val="10"/>
        <color theme="1"/>
        <rFont val="Arial"/>
        <family val="2"/>
      </rPr>
      <t>AP</t>
    </r>
    <r>
      <rPr>
        <sz val="10"/>
        <color theme="1"/>
        <rFont val="微软雅黑"/>
        <family val="2"/>
        <charset val="134"/>
      </rPr>
      <t>：</t>
    </r>
    <r>
      <rPr>
        <sz val="10"/>
        <color theme="1"/>
        <rFont val="Arial"/>
        <family val="2"/>
      </rPr>
      <t>11AX +CH1 band20</t>
    </r>
  </si>
  <si>
    <t>1.CH1+band20 TX RVR</t>
  </si>
  <si>
    <t>1,Peak Through
2,0 thoughput dBm
3,rvr tendency
4,Comparison with competitors,GAP 2-3dBm</t>
  </si>
  <si>
    <t>1.CH1+band20 RX RVR</t>
  </si>
  <si>
    <r>
      <rPr>
        <sz val="10"/>
        <color theme="1"/>
        <rFont val="Arial"/>
        <family val="2"/>
      </rPr>
      <t>AP</t>
    </r>
    <r>
      <rPr>
        <sz val="10"/>
        <color theme="1"/>
        <rFont val="微软雅黑"/>
        <family val="2"/>
        <charset val="134"/>
      </rPr>
      <t>：</t>
    </r>
    <r>
      <rPr>
        <sz val="10"/>
        <color theme="1"/>
        <rFont val="Arial"/>
        <family val="2"/>
      </rPr>
      <t>11AX +CH6 band40</t>
    </r>
  </si>
  <si>
    <t>1.CH6+band40 TX RVR</t>
  </si>
  <si>
    <t>1.CH6+band40 RX RVR</t>
  </si>
  <si>
    <t>Through: 0db atten</t>
  </si>
  <si>
    <r>
      <rPr>
        <sz val="10"/>
        <color theme="1"/>
        <rFont val="Arial"/>
        <family val="2"/>
      </rPr>
      <t>AP</t>
    </r>
    <r>
      <rPr>
        <sz val="10"/>
        <color theme="1"/>
        <rFont val="微软雅黑"/>
        <family val="2"/>
        <charset val="134"/>
      </rPr>
      <t>：</t>
    </r>
    <r>
      <rPr>
        <sz val="10"/>
        <color theme="1"/>
        <rFont val="Arial"/>
        <family val="2"/>
      </rPr>
      <t>11AX +CH11 band40</t>
    </r>
  </si>
  <si>
    <t>1.CH11+band40 TX</t>
  </si>
  <si>
    <t>1,Peak Through
2,0 thoughput dBm
3,0/90/180/270 throughput
4,Comparison with competitors,GAP 5%</t>
  </si>
  <si>
    <t>1.CH11+band40 RX</t>
  </si>
  <si>
    <t>1,Peak Through
2,0 dBm thoughput  
3,0/90/180/270 throughput
4,Comparison with competitors,GAP 5%</t>
  </si>
  <si>
    <t>Through: -55dbm</t>
  </si>
  <si>
    <t>1,Peak Through
2,-55  dBm thoughput 
3,0/90/180/270 throughput
4,Comparison with competitors,GAP 5%</t>
  </si>
  <si>
    <t>1,Peak Through
2,-55 dBm thoughput 
3,0/90/180/270 throughput
4,Comparison with competitors,GAP 5%</t>
  </si>
  <si>
    <t>Through: -70dbm</t>
  </si>
  <si>
    <t>1,Peak Through
2,-70dBm thoughput 
3,0/90/180/270 throughput
4,Comparison with competitors,GAP 5%</t>
  </si>
  <si>
    <r>
      <rPr>
        <sz val="10"/>
        <color theme="1"/>
        <rFont val="Arial"/>
        <family val="2"/>
      </rPr>
      <t>AP</t>
    </r>
    <r>
      <rPr>
        <sz val="10"/>
        <color theme="1"/>
        <rFont val="宋体"/>
        <family val="3"/>
        <charset val="134"/>
      </rPr>
      <t>：</t>
    </r>
    <r>
      <rPr>
        <sz val="10"/>
        <color theme="1"/>
        <rFont val="Arial"/>
        <family val="2"/>
      </rPr>
      <t>11AX +CH36 band80</t>
    </r>
  </si>
  <si>
    <t>1.CH36+band80 TX RVR</t>
  </si>
  <si>
    <t>1.CH36+band80 RX RVR</t>
  </si>
  <si>
    <r>
      <rPr>
        <sz val="10"/>
        <color theme="1"/>
        <rFont val="Arial"/>
        <family val="2"/>
      </rPr>
      <t>AP</t>
    </r>
    <r>
      <rPr>
        <sz val="10"/>
        <color theme="1"/>
        <rFont val="微软雅黑"/>
        <family val="2"/>
        <charset val="134"/>
      </rPr>
      <t>：</t>
    </r>
    <r>
      <rPr>
        <sz val="10"/>
        <color theme="1"/>
        <rFont val="Arial"/>
        <family val="2"/>
      </rPr>
      <t>11AX +CH149 band80</t>
    </r>
  </si>
  <si>
    <t>1.CH149+band80 TX RVR</t>
  </si>
  <si>
    <t>1.CH149+band80 RX RVR</t>
  </si>
  <si>
    <r>
      <rPr>
        <sz val="10"/>
        <color theme="1"/>
        <rFont val="Arial"/>
        <family val="2"/>
      </rPr>
      <t>AP</t>
    </r>
    <r>
      <rPr>
        <sz val="10"/>
        <color theme="1"/>
        <rFont val="微软雅黑"/>
        <family val="2"/>
        <charset val="134"/>
      </rPr>
      <t>：</t>
    </r>
    <r>
      <rPr>
        <sz val="10"/>
        <color theme="1"/>
        <rFont val="Arial"/>
        <family val="2"/>
      </rPr>
      <t>11AX +CH36 band80</t>
    </r>
  </si>
  <si>
    <t>1.CH36+band80 TX</t>
  </si>
  <si>
    <t>1.CH36+band80 RX</t>
  </si>
  <si>
    <t>1,Peak Through
2,0  dBm thoughput 
3,0/90/180/270 throughput
4,Comparison with competitors,GAP 5%</t>
  </si>
  <si>
    <t>1,Peak Through
2,-70 dBm thoughput 
3,0/90/180/270 throughput
4,Comparison with competitors,GAP 5%</t>
  </si>
  <si>
    <t>Test Report Update History</t>
  </si>
  <si>
    <t>Version</t>
  </si>
  <si>
    <t>Name</t>
  </si>
  <si>
    <t>Date</t>
  </si>
  <si>
    <t>V1.0</t>
  </si>
  <si>
    <t>Internal require.</t>
  </si>
  <si>
    <t>V1.1</t>
  </si>
  <si>
    <t>1.稳定性更新测试标准和增删部分case
稳定性煲机删除2.4G 和5G 在线播放视频，删除配对蓝牙音响本地播放视频煲机
稳定性增加Low模式下 autoreboot+ping百度、autosuspend+ping百度和长时间待机场景
2.性能测试表格更新格式
3.更新summary 格式和内容
4.更新各sheet表头，增加测试结果计算
5.增加wifi、BT兼容性、RVR、others(cases releated to wifi)测试记录表
6.wifi function 删除兼容性及吞吐量case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</si>
</sst>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C09]* #,##0.00_-;\-[$$-C09]* #,##0.00_-;_-[$$-C09]* &quot;-&quot;??_-;_-@_-"/>
  </numFmts>
  <fonts count="72">
    <font>
      <sz val="11"/>
      <color theme="1"/>
      <name val="宋体"/>
      <charset val="134"/>
      <scheme val="minor"/>
    </font>
    <font>
      <sz val="11"/>
      <color indexed="8"/>
      <name val="微软雅黑"/>
      <family val="2"/>
      <charset val="134"/>
    </font>
    <font>
      <b/>
      <sz val="20"/>
      <name val="Courier New"/>
      <family val="1"/>
    </font>
    <font>
      <b/>
      <sz val="10"/>
      <name val="Courier New"/>
      <family val="1"/>
    </font>
    <font>
      <sz val="10"/>
      <color theme="1"/>
      <name val="Courier New"/>
      <family val="1"/>
    </font>
    <font>
      <sz val="10"/>
      <color theme="1"/>
      <name val="宋体"/>
      <family val="3"/>
      <charset val="134"/>
    </font>
    <font>
      <sz val="10"/>
      <color rgb="FF000000"/>
      <name val="宋体"/>
      <family val="3"/>
      <charset val="134"/>
    </font>
    <font>
      <sz val="11"/>
      <color theme="1"/>
      <name val="Arial"/>
      <family val="2"/>
    </font>
    <font>
      <sz val="11"/>
      <name val="Arial"/>
      <family val="2"/>
    </font>
    <font>
      <sz val="16"/>
      <color rgb="FF0000FF"/>
      <name val="Arial"/>
      <family val="2"/>
    </font>
    <font>
      <b/>
      <sz val="9"/>
      <color rgb="FF000000"/>
      <name val="Arial"/>
      <family val="2"/>
    </font>
    <font>
      <sz val="9"/>
      <color rgb="FF000000"/>
      <name val="Arial"/>
      <family val="2"/>
    </font>
    <font>
      <sz val="9"/>
      <name val="Arial"/>
      <family val="2"/>
    </font>
    <font>
      <b/>
      <sz val="9"/>
      <name val="Arial"/>
      <family val="2"/>
    </font>
    <font>
      <sz val="10"/>
      <color theme="1"/>
      <name val="Arial"/>
      <family val="2"/>
    </font>
    <font>
      <sz val="10"/>
      <color rgb="FF000000"/>
      <name val="Arial"/>
      <family val="2"/>
    </font>
    <font>
      <sz val="9"/>
      <color indexed="8"/>
      <name val="Arial"/>
      <family val="2"/>
    </font>
    <font>
      <sz val="9"/>
      <color theme="1"/>
      <name val="Arial"/>
      <family val="2"/>
    </font>
    <font>
      <sz val="9"/>
      <color rgb="FFFF0000"/>
      <name val="Arial"/>
      <family val="2"/>
    </font>
    <font>
      <sz val="9"/>
      <name val="Arial"/>
      <family val="2"/>
    </font>
    <font>
      <sz val="9"/>
      <color theme="1"/>
      <name val="宋体"/>
      <family val="3"/>
      <charset val="134"/>
      <scheme val="minor"/>
    </font>
    <font>
      <sz val="10.5"/>
      <color rgb="FF0052CC"/>
      <name val="Segoe UI"/>
      <family val="2"/>
    </font>
    <font>
      <sz val="9"/>
      <color rgb="FFFF0000"/>
      <name val="宋体"/>
      <family val="3"/>
      <charset val="134"/>
      <scheme val="minor"/>
    </font>
    <font>
      <sz val="9"/>
      <color theme="1"/>
      <name val="Arial"/>
      <family val="2"/>
    </font>
    <font>
      <u/>
      <sz val="10.5"/>
      <color rgb="FF0065FF"/>
      <name val="Segoe UI"/>
      <family val="2"/>
      <charset val="1"/>
    </font>
    <font>
      <sz val="9"/>
      <name val="宋体"/>
      <family val="3"/>
      <charset val="134"/>
      <scheme val="minor"/>
    </font>
    <font>
      <u/>
      <sz val="10.5"/>
      <name val="Segoe UI"/>
      <family val="2"/>
      <charset val="1"/>
    </font>
    <font>
      <u/>
      <sz val="10.5"/>
      <color rgb="FFFF0000"/>
      <name val="Segoe UI"/>
      <family val="2"/>
      <charset val="1"/>
    </font>
    <font>
      <sz val="10.5"/>
      <color rgb="FF0052CC"/>
      <name val="Arial"/>
      <family val="2"/>
    </font>
    <font>
      <sz val="12"/>
      <name val="宋体"/>
      <family val="3"/>
      <charset val="134"/>
    </font>
    <font>
      <sz val="9"/>
      <color indexed="8"/>
      <name val="宋体"/>
      <family val="3"/>
      <charset val="134"/>
    </font>
    <font>
      <b/>
      <sz val="20"/>
      <color indexed="9"/>
      <name val="宋体"/>
      <family val="3"/>
      <charset val="134"/>
    </font>
    <font>
      <sz val="10"/>
      <name val="宋体"/>
      <family val="3"/>
      <charset val="134"/>
    </font>
    <font>
      <b/>
      <sz val="14"/>
      <color indexed="8"/>
      <name val="宋体"/>
      <family val="3"/>
      <charset val="134"/>
    </font>
    <font>
      <sz val="9"/>
      <color rgb="FF000000"/>
      <name val="宋体"/>
      <family val="3"/>
      <charset val="134"/>
    </font>
    <font>
      <b/>
      <sz val="11"/>
      <color indexed="8"/>
      <name val="宋体"/>
      <family val="3"/>
      <charset val="134"/>
    </font>
    <font>
      <b/>
      <sz val="9"/>
      <color indexed="0"/>
      <name val="宋体"/>
      <family val="3"/>
      <charset val="134"/>
    </font>
    <font>
      <b/>
      <sz val="9"/>
      <color indexed="8"/>
      <name val="宋体"/>
      <family val="3"/>
      <charset val="134"/>
    </font>
    <font>
      <sz val="9"/>
      <color indexed="0"/>
      <name val="宋体"/>
      <family val="3"/>
      <charset val="134"/>
    </font>
    <font>
      <sz val="11"/>
      <color rgb="FF000000"/>
      <name val="宋体"/>
      <family val="3"/>
      <charset val="134"/>
      <scheme val="minor"/>
    </font>
    <font>
      <sz val="9"/>
      <color rgb="FF000000"/>
      <name val="宋体"/>
      <family val="3"/>
      <charset val="134"/>
      <scheme val="minor"/>
    </font>
    <font>
      <sz val="10.5"/>
      <color rgb="FF000000"/>
      <name val="Segoe UI"/>
      <family val="2"/>
      <charset val="1"/>
    </font>
    <font>
      <sz val="11"/>
      <color rgb="FF000000"/>
      <name val="Arial"/>
      <family val="2"/>
    </font>
    <font>
      <u/>
      <sz val="10.5"/>
      <color rgb="FF000000"/>
      <name val="Segoe UI"/>
      <family val="2"/>
      <charset val="1"/>
    </font>
    <font>
      <u/>
      <sz val="10.5"/>
      <color rgb="FF000000"/>
      <name val="汉仪书宋二KW"/>
      <charset val="134"/>
    </font>
    <font>
      <sz val="10"/>
      <name val="Arial"/>
      <family val="2"/>
    </font>
    <font>
      <sz val="12"/>
      <name val="Arial"/>
      <family val="2"/>
    </font>
    <font>
      <sz val="10"/>
      <color rgb="FFFF0000"/>
      <name val="Arial"/>
      <family val="2"/>
    </font>
    <font>
      <b/>
      <sz val="14"/>
      <name val="Arial"/>
      <family val="2"/>
    </font>
    <font>
      <b/>
      <sz val="10"/>
      <name val="Arial"/>
      <family val="2"/>
    </font>
    <font>
      <b/>
      <sz val="10"/>
      <color rgb="FF000000"/>
      <name val="Arial"/>
      <family val="2"/>
    </font>
    <font>
      <u/>
      <sz val="11"/>
      <color rgb="FF0000FF"/>
      <name val="Arial"/>
      <family val="2"/>
    </font>
    <font>
      <u/>
      <sz val="10"/>
      <color rgb="FF0000FF"/>
      <name val="Arial"/>
      <family val="2"/>
    </font>
    <font>
      <u/>
      <sz val="10"/>
      <color rgb="FF0505B1"/>
      <name val="Arial"/>
      <family val="2"/>
    </font>
    <font>
      <b/>
      <sz val="9"/>
      <color indexed="56"/>
      <name val="Arial"/>
      <family val="2"/>
    </font>
    <font>
      <b/>
      <sz val="9"/>
      <color rgb="FF003366"/>
      <name val="Arial"/>
      <family val="2"/>
    </font>
    <font>
      <u/>
      <sz val="11"/>
      <color rgb="FF0000FF"/>
      <name val="宋体"/>
      <family val="3"/>
      <charset val="134"/>
      <scheme val="minor"/>
    </font>
    <font>
      <sz val="11"/>
      <color indexed="8"/>
      <name val="宋体"/>
      <family val="3"/>
      <charset val="134"/>
    </font>
    <font>
      <sz val="10"/>
      <color theme="1"/>
      <name val="微软雅黑"/>
      <family val="2"/>
      <charset val="134"/>
    </font>
    <font>
      <sz val="9"/>
      <color theme="1"/>
      <name val="宋体"/>
      <family val="3"/>
      <charset val="134"/>
    </font>
    <font>
      <sz val="9"/>
      <color rgb="FFFF0000"/>
      <name val="宋体"/>
      <family val="3"/>
      <charset val="134"/>
    </font>
    <font>
      <sz val="9"/>
      <color rgb="FFFF0000"/>
      <name val="汉仪书宋二KW"/>
      <charset val="134"/>
    </font>
    <font>
      <sz val="9"/>
      <color rgb="FF000000"/>
      <name val="汉仪书宋二KW"/>
      <charset val="134"/>
    </font>
    <font>
      <sz val="9"/>
      <color rgb="FF000000"/>
      <name val="微软雅黑"/>
      <family val="2"/>
      <charset val="134"/>
    </font>
    <font>
      <sz val="9"/>
      <name val="宋体"/>
      <family val="3"/>
      <charset val="134"/>
    </font>
    <font>
      <sz val="11"/>
      <color theme="1"/>
      <name val="宋体"/>
      <family val="3"/>
      <charset val="134"/>
      <scheme val="minor"/>
    </font>
    <font>
      <sz val="8"/>
      <color theme="1"/>
      <name val="微软雅黑"/>
      <family val="2"/>
      <charset val="134"/>
    </font>
    <font>
      <sz val="9"/>
      <color rgb="FF000000"/>
      <name val="Arial"/>
    </font>
    <font>
      <sz val="9"/>
      <color rgb="FF000000"/>
      <name val="宋体"/>
    </font>
    <font>
      <sz val="8"/>
      <color theme="1"/>
      <name val="微软雅黑"/>
      <family val="2"/>
    </font>
    <font>
      <sz val="10"/>
      <color theme="1"/>
      <name val="Liberation Sans"/>
      <charset val="1"/>
    </font>
    <font>
      <sz val="10"/>
      <color theme="1"/>
      <name val="Noto Sans SC"/>
      <charset val="1"/>
    </font>
  </fonts>
  <fills count="15">
    <fill>
      <patternFill patternType="none"/>
    </fill>
    <fill>
      <patternFill patternType="gray125"/>
    </fill>
    <fill>
      <patternFill patternType="solid">
        <fgColor rgb="FF1FC8FF"/>
        <bgColor indexed="64"/>
      </patternFill>
    </fill>
    <fill>
      <patternFill patternType="solid">
        <fgColor theme="0"/>
        <bgColor indexed="64"/>
      </patternFill>
    </fill>
    <fill>
      <patternFill patternType="solid">
        <fgColor rgb="FFDEEBF7"/>
        <bgColor indexed="64"/>
      </patternFill>
    </fill>
    <fill>
      <patternFill patternType="solid">
        <fgColor rgb="FFFFFFFF"/>
        <bgColor indexed="64"/>
      </patternFill>
    </fill>
    <fill>
      <patternFill patternType="solid">
        <fgColor indexed="12"/>
        <bgColor indexed="64"/>
      </patternFill>
    </fill>
    <fill>
      <patternFill patternType="solid">
        <fgColor indexed="24"/>
        <bgColor indexed="64"/>
      </patternFill>
    </fill>
    <fill>
      <patternFill patternType="solid">
        <fgColor indexed="42"/>
        <bgColor indexed="64"/>
      </patternFill>
    </fill>
    <fill>
      <patternFill patternType="solid">
        <fgColor indexed="9"/>
        <bgColor indexed="64"/>
      </patternFill>
    </fill>
    <fill>
      <patternFill patternType="solid">
        <fgColor indexed="1"/>
        <bgColor indexed="64"/>
      </patternFill>
    </fill>
    <fill>
      <patternFill patternType="solid">
        <fgColor rgb="FF00B0F0"/>
        <bgColor indexed="64"/>
      </patternFill>
    </fill>
    <fill>
      <patternFill patternType="solid">
        <fgColor rgb="FF00FF00"/>
        <bgColor indexed="64"/>
      </patternFill>
    </fill>
    <fill>
      <patternFill patternType="solid">
        <fgColor rgb="FFD9D9D9"/>
        <bgColor indexed="64"/>
      </patternFill>
    </fill>
    <fill>
      <patternFill patternType="solid">
        <fgColor rgb="FFFFC000"/>
        <bgColor indexed="64"/>
      </patternFill>
    </fill>
  </fills>
  <borders count="2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auto="1"/>
      </top>
      <bottom/>
      <diagonal/>
    </border>
  </borders>
  <cellStyleXfs count="10">
    <xf numFmtId="0" fontId="0" fillId="0" borderId="0">
      <alignment vertical="center"/>
    </xf>
    <xf numFmtId="0" fontId="56" fillId="0" borderId="0" applyNumberFormat="0" applyFill="0" applyBorder="0" applyAlignment="0" applyProtection="0">
      <alignment vertical="center"/>
    </xf>
    <xf numFmtId="0" fontId="57" fillId="0" borderId="0">
      <alignment vertical="center"/>
    </xf>
    <xf numFmtId="0" fontId="45" fillId="0" borderId="0" applyProtection="0"/>
    <xf numFmtId="0" fontId="57" fillId="0" borderId="0" applyProtection="0"/>
    <xf numFmtId="0" fontId="57" fillId="0" borderId="0">
      <alignment vertical="center"/>
    </xf>
    <xf numFmtId="0" fontId="57" fillId="0" borderId="0">
      <alignment vertical="center"/>
    </xf>
    <xf numFmtId="176" fontId="65" fillId="0" borderId="0"/>
    <xf numFmtId="0" fontId="65" fillId="0" borderId="0"/>
    <xf numFmtId="176" fontId="65" fillId="0" borderId="0"/>
  </cellStyleXfs>
  <cellXfs count="233">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3" fillId="2" borderId="4" xfId="2" applyFont="1" applyFill="1" applyBorder="1" applyAlignment="1">
      <alignment horizontal="center" vertical="center"/>
    </xf>
    <xf numFmtId="0" fontId="3" fillId="2" borderId="5" xfId="2" applyFont="1" applyFill="1" applyBorder="1" applyAlignment="1">
      <alignment horizontal="center" vertical="center"/>
    </xf>
    <xf numFmtId="0" fontId="4" fillId="3" borderId="4" xfId="0" applyFont="1" applyFill="1" applyBorder="1" applyAlignment="1">
      <alignment horizontal="center" vertical="center"/>
    </xf>
    <xf numFmtId="14" fontId="4" fillId="3" borderId="4" xfId="0" applyNumberFormat="1" applyFont="1" applyFill="1" applyBorder="1" applyAlignment="1">
      <alignment horizontal="center" vertical="center"/>
    </xf>
    <xf numFmtId="0" fontId="5" fillId="3" borderId="4" xfId="0" applyFont="1" applyFill="1" applyBorder="1">
      <alignment vertical="center"/>
    </xf>
    <xf numFmtId="0" fontId="6" fillId="3" borderId="4" xfId="0" applyFont="1" applyFill="1" applyBorder="1" applyAlignment="1">
      <alignment vertical="center" wrapText="1"/>
    </xf>
    <xf numFmtId="0" fontId="5" fillId="3" borderId="4" xfId="0" applyFont="1" applyFill="1" applyBorder="1" applyAlignment="1">
      <alignment vertical="center" wrapText="1"/>
    </xf>
    <xf numFmtId="0" fontId="7" fillId="0" borderId="0" xfId="0" applyFont="1">
      <alignment vertical="center"/>
    </xf>
    <xf numFmtId="0" fontId="8" fillId="0" borderId="0" xfId="0" applyFont="1">
      <alignment vertical="center"/>
    </xf>
    <xf numFmtId="0" fontId="10" fillId="4" borderId="6" xfId="0" applyFont="1" applyFill="1" applyBorder="1" applyAlignment="1">
      <alignment horizontal="right" vertical="center"/>
    </xf>
    <xf numFmtId="0" fontId="11" fillId="5" borderId="6" xfId="0" applyFont="1" applyFill="1" applyBorder="1" applyAlignment="1">
      <alignment horizontal="center" vertical="center"/>
    </xf>
    <xf numFmtId="0" fontId="10" fillId="5" borderId="6" xfId="0" applyFont="1" applyFill="1" applyBorder="1" applyAlignment="1">
      <alignment horizontal="left" vertical="center"/>
    </xf>
    <xf numFmtId="0" fontId="10" fillId="4" borderId="6" xfId="0" applyFont="1" applyFill="1" applyBorder="1" applyAlignment="1">
      <alignment horizontal="center" vertical="center"/>
    </xf>
    <xf numFmtId="0" fontId="10" fillId="4"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2" borderId="5" xfId="2" applyFont="1" applyFill="1" applyBorder="1" applyAlignment="1">
      <alignment horizontal="center" vertical="center" wrapText="1"/>
    </xf>
    <xf numFmtId="0" fontId="14" fillId="0" borderId="4" xfId="0" applyFont="1" applyBorder="1" applyAlignment="1">
      <alignment horizontal="center" vertical="center"/>
    </xf>
    <xf numFmtId="0" fontId="15" fillId="0" borderId="4" xfId="0" applyFont="1" applyBorder="1" applyAlignment="1">
      <alignment horizontal="center" vertical="center"/>
    </xf>
    <xf numFmtId="0" fontId="14" fillId="0" borderId="4" xfId="0" applyFont="1" applyBorder="1">
      <alignment vertical="center"/>
    </xf>
    <xf numFmtId="0" fontId="14" fillId="0" borderId="4" xfId="0" applyFont="1" applyBorder="1" applyAlignment="1">
      <alignment horizontal="left" vertical="center" wrapText="1"/>
    </xf>
    <xf numFmtId="0" fontId="14" fillId="0" borderId="4" xfId="9" applyNumberFormat="1" applyFont="1" applyBorder="1" applyAlignment="1">
      <alignment horizontal="center" vertical="center" wrapText="1"/>
    </xf>
    <xf numFmtId="0" fontId="16" fillId="0" borderId="4" xfId="2" applyFont="1" applyBorder="1" applyAlignment="1">
      <alignment horizontal="center" vertical="center" wrapText="1"/>
    </xf>
    <xf numFmtId="0" fontId="17" fillId="0" borderId="4" xfId="0" applyFont="1" applyBorder="1" applyAlignment="1">
      <alignment horizontal="center" vertical="center" wrapText="1"/>
    </xf>
    <xf numFmtId="0" fontId="17" fillId="0" borderId="4" xfId="0" applyFont="1" applyBorder="1" applyAlignment="1">
      <alignment vertical="center" wrapText="1"/>
    </xf>
    <xf numFmtId="0" fontId="11" fillId="3" borderId="4" xfId="2" applyFont="1" applyFill="1" applyBorder="1" applyAlignment="1">
      <alignment horizontal="left" vertical="center" wrapText="1"/>
    </xf>
    <xf numFmtId="0" fontId="17" fillId="0" borderId="4" xfId="0" applyFont="1" applyBorder="1" applyAlignment="1">
      <alignment horizontal="left" vertical="center" wrapText="1"/>
    </xf>
    <xf numFmtId="0" fontId="11" fillId="0" borderId="4" xfId="0" applyFont="1" applyBorder="1" applyAlignment="1">
      <alignment vertical="center" wrapText="1"/>
    </xf>
    <xf numFmtId="0" fontId="12" fillId="0" borderId="4" xfId="0" applyFont="1" applyBorder="1" applyAlignment="1">
      <alignment vertical="center" wrapText="1"/>
    </xf>
    <xf numFmtId="0" fontId="12" fillId="3" borderId="4" xfId="2" applyFont="1" applyFill="1" applyBorder="1" applyAlignment="1">
      <alignment horizontal="left" vertical="center" wrapText="1"/>
    </xf>
    <xf numFmtId="0" fontId="12" fillId="0" borderId="4" xfId="0" applyFont="1" applyBorder="1" applyAlignment="1">
      <alignment horizontal="left" vertical="center" wrapText="1"/>
    </xf>
    <xf numFmtId="0" fontId="18" fillId="0" borderId="4" xfId="0" applyFont="1" applyBorder="1" applyAlignment="1">
      <alignment vertical="center" wrapText="1"/>
    </xf>
    <xf numFmtId="0" fontId="18" fillId="3" borderId="4" xfId="2" applyFont="1" applyFill="1" applyBorder="1" applyAlignment="1">
      <alignment horizontal="left" vertical="center" wrapText="1"/>
    </xf>
    <xf numFmtId="0" fontId="18" fillId="0" borderId="4" xfId="0" applyFont="1" applyBorder="1" applyAlignment="1">
      <alignment horizontal="left" vertical="center" wrapText="1"/>
    </xf>
    <xf numFmtId="0" fontId="18" fillId="0" borderId="4" xfId="0" applyFont="1" applyBorder="1" applyAlignment="1">
      <alignment horizontal="center" vertical="center" wrapText="1"/>
    </xf>
    <xf numFmtId="0" fontId="11" fillId="3" borderId="4" xfId="2" applyFont="1" applyFill="1" applyBorder="1" applyAlignment="1">
      <alignment vertical="center" wrapText="1"/>
    </xf>
    <xf numFmtId="0" fontId="11" fillId="3" borderId="4" xfId="2" applyFont="1" applyFill="1" applyBorder="1" applyAlignment="1">
      <alignment wrapText="1"/>
    </xf>
    <xf numFmtId="0" fontId="18" fillId="3" borderId="4" xfId="2" applyFont="1" applyFill="1" applyBorder="1" applyAlignment="1">
      <alignment vertical="center" wrapText="1"/>
    </xf>
    <xf numFmtId="0" fontId="18" fillId="3" borderId="4" xfId="2" applyFont="1" applyFill="1" applyBorder="1" applyAlignment="1">
      <alignment wrapText="1"/>
    </xf>
    <xf numFmtId="0" fontId="11" fillId="0" borderId="4" xfId="0" applyFont="1" applyBorder="1" applyAlignment="1">
      <alignment horizontal="left" vertical="center" wrapText="1"/>
    </xf>
    <xf numFmtId="0" fontId="18" fillId="0" borderId="12" xfId="0" applyFont="1" applyBorder="1" applyAlignment="1">
      <alignment horizontal="left" vertical="center" wrapText="1"/>
    </xf>
    <xf numFmtId="0" fontId="18" fillId="0" borderId="12" xfId="0" applyFont="1" applyBorder="1" applyAlignment="1">
      <alignment vertical="center" wrapText="1"/>
    </xf>
    <xf numFmtId="0" fontId="11" fillId="3" borderId="12" xfId="2" applyFont="1" applyFill="1" applyBorder="1" applyAlignment="1">
      <alignment vertical="center" wrapText="1"/>
    </xf>
    <xf numFmtId="0" fontId="17" fillId="0" borderId="12" xfId="0" applyFont="1" applyBorder="1" applyAlignment="1">
      <alignment horizontal="left" vertical="center" wrapText="1"/>
    </xf>
    <xf numFmtId="0" fontId="11" fillId="0" borderId="12" xfId="0" applyFont="1" applyBorder="1" applyAlignment="1">
      <alignment vertical="center" wrapText="1"/>
    </xf>
    <xf numFmtId="0" fontId="17" fillId="0" borderId="12" xfId="0" applyFont="1" applyBorder="1" applyAlignment="1">
      <alignment horizontal="center" vertical="center" wrapText="1"/>
    </xf>
    <xf numFmtId="0" fontId="15" fillId="0" borderId="4" xfId="0" applyFont="1" applyBorder="1" applyAlignment="1">
      <alignment horizontal="center" vertical="center" wrapText="1"/>
    </xf>
    <xf numFmtId="0" fontId="20" fillId="0" borderId="4" xfId="0" applyFont="1" applyBorder="1" applyAlignment="1">
      <alignment vertical="center" wrapText="1"/>
    </xf>
    <xf numFmtId="0" fontId="21" fillId="0" borderId="0" xfId="0" applyFont="1" applyAlignment="1">
      <alignment horizontal="left" vertical="center" wrapText="1"/>
    </xf>
    <xf numFmtId="0" fontId="22" fillId="0" borderId="4" xfId="0" applyFont="1" applyBorder="1" applyAlignment="1">
      <alignment vertical="center" wrapText="1"/>
    </xf>
    <xf numFmtId="0" fontId="24" fillId="0" borderId="4" xfId="0" applyFont="1" applyBorder="1" applyAlignment="1">
      <alignment horizontal="left" vertical="center" wrapText="1"/>
    </xf>
    <xf numFmtId="0" fontId="12" fillId="0" borderId="4" xfId="0" applyFont="1" applyBorder="1" applyAlignment="1">
      <alignment horizontal="center" vertical="center" wrapText="1"/>
    </xf>
    <xf numFmtId="0" fontId="25" fillId="0" borderId="4" xfId="0" applyFont="1" applyBorder="1" applyAlignment="1">
      <alignment vertical="center" wrapText="1"/>
    </xf>
    <xf numFmtId="0" fontId="26" fillId="0" borderId="4" xfId="0" applyFont="1" applyBorder="1" applyAlignment="1">
      <alignment horizontal="left" vertical="center" wrapText="1"/>
    </xf>
    <xf numFmtId="0" fontId="27" fillId="0" borderId="4"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wrapText="1"/>
    </xf>
    <xf numFmtId="0" fontId="10" fillId="5" borderId="7" xfId="0" applyFont="1" applyFill="1" applyBorder="1" applyAlignment="1">
      <alignment horizontal="left" vertical="center"/>
    </xf>
    <xf numFmtId="0" fontId="10" fillId="5" borderId="9" xfId="0" applyFont="1" applyFill="1" applyBorder="1" applyAlignment="1">
      <alignment horizontal="center" vertical="center"/>
    </xf>
    <xf numFmtId="0" fontId="13" fillId="2" borderId="4" xfId="2" applyFont="1" applyFill="1" applyBorder="1" applyAlignment="1">
      <alignment horizontal="center" vertical="center" wrapText="1"/>
    </xf>
    <xf numFmtId="0" fontId="12" fillId="0" borderId="12" xfId="0" applyFont="1" applyBorder="1" applyAlignment="1">
      <alignment vertical="center" wrapText="1"/>
    </xf>
    <xf numFmtId="0" fontId="12" fillId="0" borderId="6" xfId="0" applyFont="1" applyBorder="1" applyAlignment="1">
      <alignment vertical="center" wrapText="1"/>
    </xf>
    <xf numFmtId="0" fontId="28" fillId="0" borderId="6" xfId="0" applyFont="1" applyBorder="1" applyAlignment="1">
      <alignment horizontal="left" vertical="center" wrapText="1"/>
    </xf>
    <xf numFmtId="0" fontId="7" fillId="0" borderId="4" xfId="0" applyFont="1" applyBorder="1">
      <alignment vertical="center"/>
    </xf>
    <xf numFmtId="0" fontId="7" fillId="0" borderId="5" xfId="0" applyFont="1" applyBorder="1">
      <alignment vertical="center"/>
    </xf>
    <xf numFmtId="0" fontId="12" fillId="0" borderId="5" xfId="0" applyFont="1" applyBorder="1" applyAlignment="1">
      <alignment vertical="center" wrapText="1"/>
    </xf>
    <xf numFmtId="0" fontId="29" fillId="0" borderId="0" xfId="0" applyFont="1">
      <alignment vertical="center"/>
    </xf>
    <xf numFmtId="0" fontId="30" fillId="0" borderId="0" xfId="5" applyFont="1">
      <alignment vertical="center"/>
    </xf>
    <xf numFmtId="0" fontId="30" fillId="0" borderId="4" xfId="5" applyFont="1" applyBorder="1" applyAlignment="1">
      <alignment vertical="center" wrapText="1"/>
    </xf>
    <xf numFmtId="0" fontId="30" fillId="0" borderId="4" xfId="5" applyFont="1" applyBorder="1" applyAlignment="1">
      <alignment horizontal="center" vertical="center"/>
    </xf>
    <xf numFmtId="0" fontId="30" fillId="0" borderId="4" xfId="5" applyFont="1" applyBorder="1" applyAlignment="1">
      <alignment horizontal="center" vertical="center" wrapText="1"/>
    </xf>
    <xf numFmtId="0" fontId="36" fillId="0" borderId="4" xfId="0" applyFont="1" applyBorder="1" applyAlignment="1">
      <alignment horizontal="center" vertical="center"/>
    </xf>
    <xf numFmtId="0" fontId="37" fillId="9" borderId="4" xfId="6" applyFont="1" applyFill="1" applyBorder="1" applyAlignment="1">
      <alignment horizontal="center" vertical="center" wrapText="1"/>
    </xf>
    <xf numFmtId="0" fontId="30" fillId="9" borderId="4" xfId="5" applyFont="1" applyFill="1" applyBorder="1" applyAlignment="1">
      <alignment horizontal="center" vertical="center" wrapText="1"/>
    </xf>
    <xf numFmtId="0" fontId="38" fillId="10" borderId="4" xfId="0" applyFont="1" applyFill="1" applyBorder="1" applyAlignment="1">
      <alignment horizontal="center" vertical="center"/>
    </xf>
    <xf numFmtId="0" fontId="34" fillId="0" borderId="4" xfId="5" applyFont="1" applyBorder="1" applyAlignment="1">
      <alignment horizontal="center" vertical="center" wrapText="1"/>
    </xf>
    <xf numFmtId="0" fontId="30" fillId="0" borderId="3" xfId="5" applyFont="1" applyBorder="1" applyAlignment="1">
      <alignment vertical="center" wrapText="1"/>
    </xf>
    <xf numFmtId="0" fontId="30" fillId="0" borderId="0" xfId="5" applyFont="1" applyAlignment="1">
      <alignment horizontal="left" vertical="center"/>
    </xf>
    <xf numFmtId="0" fontId="39" fillId="0" borderId="0" xfId="0" applyFont="1">
      <alignment vertical="center"/>
    </xf>
    <xf numFmtId="0" fontId="12" fillId="3" borderId="4" xfId="2" applyFont="1" applyFill="1" applyBorder="1" applyAlignment="1">
      <alignment vertical="center" wrapText="1"/>
    </xf>
    <xf numFmtId="0" fontId="12" fillId="3" borderId="4" xfId="2" applyFont="1" applyFill="1" applyBorder="1" applyAlignment="1">
      <alignment wrapText="1"/>
    </xf>
    <xf numFmtId="0" fontId="11" fillId="0" borderId="4" xfId="0" applyFont="1" applyBorder="1" applyAlignment="1">
      <alignment horizontal="center" vertical="center" wrapText="1"/>
    </xf>
    <xf numFmtId="0" fontId="34" fillId="0" borderId="4" xfId="0" applyFont="1" applyBorder="1" applyAlignment="1">
      <alignment vertical="center" wrapText="1"/>
    </xf>
    <xf numFmtId="0" fontId="40" fillId="0" borderId="4" xfId="0" applyFont="1" applyBorder="1" applyAlignment="1">
      <alignment vertical="center" wrapText="1"/>
    </xf>
    <xf numFmtId="0" fontId="41" fillId="0" borderId="0" xfId="0" applyFont="1" applyAlignment="1">
      <alignment horizontal="left" vertical="center" wrapText="1"/>
    </xf>
    <xf numFmtId="0" fontId="42" fillId="0" borderId="0" xfId="0" applyFont="1">
      <alignment vertical="center"/>
    </xf>
    <xf numFmtId="0" fontId="11" fillId="0" borderId="12" xfId="0" applyFont="1" applyBorder="1" applyAlignment="1">
      <alignment horizontal="left" vertical="center" wrapText="1"/>
    </xf>
    <xf numFmtId="0" fontId="7" fillId="11" borderId="4" xfId="0" applyFont="1" applyFill="1" applyBorder="1" applyAlignment="1">
      <alignment vertical="center" wrapText="1"/>
    </xf>
    <xf numFmtId="0" fontId="8" fillId="0" borderId="4" xfId="0" applyFont="1" applyBorder="1">
      <alignment vertical="center"/>
    </xf>
    <xf numFmtId="0" fontId="42" fillId="0" borderId="4" xfId="0" applyFont="1" applyBorder="1">
      <alignment vertical="center"/>
    </xf>
    <xf numFmtId="0" fontId="43" fillId="0" borderId="4" xfId="0" applyFont="1" applyBorder="1" applyAlignment="1">
      <alignment horizontal="left" vertical="center" wrapText="1"/>
    </xf>
    <xf numFmtId="0" fontId="44" fillId="0" borderId="4" xfId="0" applyFont="1" applyBorder="1" applyAlignment="1">
      <alignment horizontal="left" vertical="center" wrapText="1"/>
    </xf>
    <xf numFmtId="0" fontId="14" fillId="0" borderId="4" xfId="0" applyFont="1" applyBorder="1" applyAlignment="1">
      <alignment vertical="center" wrapText="1"/>
    </xf>
    <xf numFmtId="0" fontId="45" fillId="0" borderId="4" xfId="0" applyFont="1" applyBorder="1" applyAlignment="1">
      <alignment vertical="center" wrapText="1"/>
    </xf>
    <xf numFmtId="0" fontId="46" fillId="0" borderId="0" xfId="0" applyFont="1">
      <alignment vertical="center"/>
    </xf>
    <xf numFmtId="0" fontId="16" fillId="0" borderId="0" xfId="5" applyFont="1">
      <alignment vertical="center"/>
    </xf>
    <xf numFmtId="0" fontId="16" fillId="0" borderId="0" xfId="5" applyFont="1" applyAlignment="1">
      <alignment vertical="center" wrapText="1"/>
    </xf>
    <xf numFmtId="0" fontId="16" fillId="0" borderId="0" xfId="5" applyFont="1" applyAlignment="1">
      <alignment horizontal="center" vertical="center"/>
    </xf>
    <xf numFmtId="0" fontId="10" fillId="4" borderId="6" xfId="0" applyFont="1" applyFill="1" applyBorder="1" applyAlignment="1">
      <alignment horizontal="right" vertical="center" wrapText="1"/>
    </xf>
    <xf numFmtId="0" fontId="10" fillId="0" borderId="6" xfId="0" applyFont="1" applyBorder="1" applyAlignment="1">
      <alignment horizontal="right" vertical="center"/>
    </xf>
    <xf numFmtId="0" fontId="10" fillId="2" borderId="6" xfId="2" applyFont="1" applyFill="1" applyBorder="1" applyAlignment="1">
      <alignment horizontal="center" vertical="center" wrapText="1"/>
    </xf>
    <xf numFmtId="0" fontId="13" fillId="2" borderId="6" xfId="2" applyFont="1" applyFill="1" applyBorder="1" applyAlignment="1">
      <alignment horizontal="center" vertical="center" wrapText="1"/>
    </xf>
    <xf numFmtId="0" fontId="16" fillId="0" borderId="6" xfId="5" applyFont="1" applyBorder="1" applyAlignment="1">
      <alignment horizontal="center" vertical="center"/>
    </xf>
    <xf numFmtId="0" fontId="16" fillId="0" borderId="6" xfId="5" applyFont="1" applyBorder="1">
      <alignment vertical="center"/>
    </xf>
    <xf numFmtId="0" fontId="40" fillId="0" borderId="6" xfId="0" applyFont="1" applyBorder="1">
      <alignment vertical="center"/>
    </xf>
    <xf numFmtId="0" fontId="40" fillId="0" borderId="6" xfId="0" applyFont="1" applyBorder="1" applyAlignment="1">
      <alignment horizontal="center" vertical="center"/>
    </xf>
    <xf numFmtId="0" fontId="19" fillId="0" borderId="0" xfId="0" applyFont="1" applyAlignment="1">
      <alignment vertical="center" wrapText="1"/>
    </xf>
    <xf numFmtId="0" fontId="15" fillId="0" borderId="4" xfId="0" applyFont="1" applyBorder="1" applyAlignment="1">
      <alignment vertical="center" wrapText="1"/>
    </xf>
    <xf numFmtId="0" fontId="21" fillId="5" borderId="0" xfId="0" applyFont="1" applyFill="1" applyAlignment="1">
      <alignment vertical="center" wrapText="1"/>
    </xf>
    <xf numFmtId="0" fontId="16" fillId="0" borderId="4" xfId="2" applyFont="1" applyBorder="1" applyAlignment="1">
      <alignment vertical="center" wrapText="1"/>
    </xf>
    <xf numFmtId="0" fontId="47" fillId="0" borderId="4" xfId="0" applyFont="1" applyBorder="1" applyAlignment="1">
      <alignment vertical="center" wrapText="1"/>
    </xf>
    <xf numFmtId="0" fontId="14" fillId="0" borderId="0" xfId="0" applyFont="1" applyAlignment="1">
      <alignment vertical="center" wrapText="1"/>
    </xf>
    <xf numFmtId="0" fontId="14" fillId="3" borderId="0" xfId="0" applyFont="1" applyFill="1" applyAlignment="1">
      <alignment vertical="center" wrapText="1"/>
    </xf>
    <xf numFmtId="0" fontId="49" fillId="0" borderId="6" xfId="0" applyFont="1" applyBorder="1" applyAlignment="1">
      <alignment vertical="center" wrapText="1"/>
    </xf>
    <xf numFmtId="0" fontId="14" fillId="3" borderId="6" xfId="0" applyFont="1" applyFill="1" applyBorder="1" applyAlignment="1">
      <alignment horizontal="left" vertical="center" wrapText="1"/>
    </xf>
    <xf numFmtId="0" fontId="15" fillId="3" borderId="6" xfId="0" applyFont="1" applyFill="1" applyBorder="1" applyAlignment="1">
      <alignment horizontal="left" vertical="center" wrapText="1"/>
    </xf>
    <xf numFmtId="0" fontId="50" fillId="0" borderId="6" xfId="0" applyFont="1" applyBorder="1" applyAlignment="1">
      <alignment vertical="center" wrapText="1"/>
    </xf>
    <xf numFmtId="0" fontId="52" fillId="0" borderId="6" xfId="1" applyFont="1" applyFill="1" applyBorder="1" applyAlignment="1">
      <alignment horizontal="center" vertical="center"/>
    </xf>
    <xf numFmtId="0" fontId="14" fillId="3" borderId="6" xfId="0" applyFont="1" applyFill="1" applyBorder="1" applyAlignment="1">
      <alignment horizontal="center" vertical="center" wrapText="1"/>
    </xf>
    <xf numFmtId="9" fontId="14" fillId="3" borderId="6" xfId="0" applyNumberFormat="1" applyFont="1" applyFill="1" applyBorder="1" applyAlignment="1">
      <alignment horizontal="center" vertical="center" wrapText="1"/>
    </xf>
    <xf numFmtId="10" fontId="14" fillId="3" borderId="6" xfId="0" applyNumberFormat="1" applyFont="1" applyFill="1" applyBorder="1" applyAlignment="1">
      <alignment horizontal="center" vertical="center" wrapText="1"/>
    </xf>
    <xf numFmtId="0" fontId="54" fillId="2" borderId="6" xfId="0" applyFont="1" applyFill="1" applyBorder="1" applyAlignment="1">
      <alignment horizontal="center" vertical="center" wrapText="1"/>
    </xf>
    <xf numFmtId="0" fontId="54" fillId="2" borderId="6" xfId="0" applyFont="1" applyFill="1" applyBorder="1" applyAlignment="1">
      <alignment vertical="center" wrapText="1"/>
    </xf>
    <xf numFmtId="0" fontId="14" fillId="0" borderId="6" xfId="0" applyFont="1" applyBorder="1" applyAlignment="1">
      <alignment horizontal="center" vertical="center" wrapText="1"/>
    </xf>
    <xf numFmtId="0" fontId="14" fillId="0" borderId="6" xfId="0" applyFont="1" applyBorder="1" applyAlignment="1">
      <alignment horizontal="left" vertical="center" wrapText="1"/>
    </xf>
    <xf numFmtId="0" fontId="14" fillId="0" borderId="6" xfId="0" applyFont="1" applyBorder="1" applyAlignment="1">
      <alignment vertical="center" wrapText="1"/>
    </xf>
    <xf numFmtId="0" fontId="14" fillId="11" borderId="6" xfId="0" applyFont="1" applyFill="1" applyBorder="1" applyAlignment="1">
      <alignment vertical="center" wrapText="1"/>
    </xf>
    <xf numFmtId="0" fontId="14" fillId="11" borderId="6" xfId="0" applyFont="1" applyFill="1" applyBorder="1" applyAlignment="1">
      <alignment horizontal="left" vertical="center"/>
    </xf>
    <xf numFmtId="0" fontId="14" fillId="0" borderId="6" xfId="0" applyFont="1" applyBorder="1" applyAlignment="1">
      <alignment horizontal="left" vertical="center"/>
    </xf>
    <xf numFmtId="0" fontId="11" fillId="0" borderId="6" xfId="0" applyFont="1" applyBorder="1" applyAlignment="1">
      <alignment horizontal="center" vertical="center" wrapText="1"/>
    </xf>
    <xf numFmtId="0" fontId="66" fillId="14" borderId="4" xfId="0" applyFont="1" applyFill="1" applyBorder="1">
      <alignment vertical="center"/>
    </xf>
    <xf numFmtId="0" fontId="66" fillId="0" borderId="0" xfId="0" applyFont="1">
      <alignment vertical="center"/>
    </xf>
    <xf numFmtId="0" fontId="10" fillId="2" borderId="6" xfId="0" applyFont="1" applyFill="1" applyBorder="1" applyAlignment="1">
      <alignment horizontal="center" vertical="center" wrapText="1"/>
    </xf>
    <xf numFmtId="0" fontId="10" fillId="2" borderId="6" xfId="0" applyFont="1" applyFill="1" applyBorder="1" applyAlignment="1">
      <alignment vertical="center" wrapText="1"/>
    </xf>
    <xf numFmtId="0" fontId="17" fillId="0" borderId="0" xfId="0" applyFont="1" applyAlignment="1">
      <alignment vertical="center" wrapText="1"/>
    </xf>
    <xf numFmtId="0" fontId="10" fillId="2" borderId="10"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7" fillId="11" borderId="4" xfId="0" applyFont="1" applyFill="1" applyBorder="1" applyAlignment="1">
      <alignment vertical="center" wrapText="1"/>
    </xf>
    <xf numFmtId="0" fontId="11" fillId="0" borderId="6" xfId="0" applyFont="1" applyBorder="1" applyAlignment="1">
      <alignment vertical="center" wrapText="1"/>
    </xf>
    <xf numFmtId="0" fontId="11" fillId="12" borderId="6" xfId="0" applyFont="1" applyFill="1" applyBorder="1" applyAlignment="1">
      <alignment horizontal="center" vertical="center" wrapText="1"/>
    </xf>
    <xf numFmtId="0" fontId="11" fillId="0" borderId="5" xfId="0" applyFont="1" applyBorder="1" applyAlignment="1">
      <alignment vertical="center" wrapText="1"/>
    </xf>
    <xf numFmtId="0" fontId="12" fillId="0" borderId="4" xfId="3" applyFont="1" applyBorder="1" applyAlignment="1">
      <alignment horizontal="left" vertical="center" wrapText="1"/>
    </xf>
    <xf numFmtId="0" fontId="11" fillId="0" borderId="4" xfId="3" applyFont="1" applyBorder="1" applyAlignment="1">
      <alignment horizontal="left" vertical="center" wrapText="1"/>
    </xf>
    <xf numFmtId="0" fontId="11" fillId="0" borderId="4" xfId="2" applyFont="1" applyBorder="1" applyAlignment="1">
      <alignment vertical="center" wrapText="1"/>
    </xf>
    <xf numFmtId="0" fontId="18" fillId="0" borderId="4" xfId="2" applyFont="1" applyBorder="1" applyAlignment="1">
      <alignment vertical="center" wrapText="1"/>
    </xf>
    <xf numFmtId="0" fontId="10" fillId="2" borderId="6" xfId="0" applyFont="1" applyFill="1" applyBorder="1" applyAlignment="1">
      <alignment horizontal="center" vertical="center"/>
    </xf>
    <xf numFmtId="0" fontId="11" fillId="0" borderId="6" xfId="0" applyFont="1" applyBorder="1">
      <alignment vertical="center"/>
    </xf>
    <xf numFmtId="0" fontId="11" fillId="0" borderId="6" xfId="5" applyFont="1" applyBorder="1" applyAlignment="1">
      <alignment horizontal="center" vertical="center"/>
    </xf>
    <xf numFmtId="0" fontId="12" fillId="0" borderId="0" xfId="0" applyFont="1" applyAlignment="1">
      <alignment vertical="center" wrapText="1"/>
    </xf>
    <xf numFmtId="0" fontId="11" fillId="0" borderId="6" xfId="5" applyFont="1" applyBorder="1">
      <alignment vertical="center"/>
    </xf>
    <xf numFmtId="0" fontId="16" fillId="3" borderId="4" xfId="2" applyFont="1" applyFill="1" applyBorder="1" applyAlignment="1">
      <alignment horizontal="left" vertical="center" wrapText="1"/>
    </xf>
    <xf numFmtId="0" fontId="16" fillId="3" borderId="4" xfId="2" applyFont="1" applyFill="1" applyBorder="1" applyAlignment="1">
      <alignment wrapText="1"/>
    </xf>
    <xf numFmtId="0" fontId="16" fillId="0" borderId="4" xfId="0" applyFont="1" applyBorder="1" applyAlignment="1">
      <alignment vertical="center" wrapText="1"/>
    </xf>
    <xf numFmtId="0" fontId="12" fillId="0" borderId="12" xfId="0" applyFont="1" applyBorder="1" applyAlignment="1">
      <alignment horizontal="left" vertical="center" wrapText="1"/>
    </xf>
    <xf numFmtId="0" fontId="16" fillId="0" borderId="12" xfId="0" applyFont="1" applyBorder="1" applyAlignment="1">
      <alignment vertical="center" wrapText="1"/>
    </xf>
    <xf numFmtId="0" fontId="11" fillId="0" borderId="4" xfId="2" applyFont="1" applyBorder="1" applyAlignment="1">
      <alignment horizontal="center" vertical="center" wrapText="1"/>
    </xf>
    <xf numFmtId="0" fontId="17" fillId="0" borderId="12" xfId="0" applyFont="1" applyBorder="1" applyAlignment="1">
      <alignment vertical="center" wrapText="1"/>
    </xf>
    <xf numFmtId="0" fontId="1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4" xfId="2" applyFont="1" applyBorder="1" applyAlignment="1">
      <alignment horizontal="center" vertical="center" wrapText="1"/>
    </xf>
    <xf numFmtId="0" fontId="12" fillId="0" borderId="4" xfId="2" applyFont="1" applyBorder="1" applyAlignment="1">
      <alignment horizontal="center" vertical="center" wrapText="1"/>
    </xf>
    <xf numFmtId="0" fontId="10" fillId="0" borderId="0" xfId="0" applyFont="1" applyAlignment="1">
      <alignment vertical="center" wrapText="1"/>
    </xf>
    <xf numFmtId="0" fontId="17" fillId="0" borderId="0" xfId="0" applyFont="1">
      <alignment vertical="center"/>
    </xf>
    <xf numFmtId="0" fontId="12" fillId="0" borderId="0" xfId="0" applyFont="1" applyAlignment="1">
      <alignment horizontal="center" vertical="center" wrapText="1"/>
    </xf>
    <xf numFmtId="0" fontId="70" fillId="0" borderId="0" xfId="0" applyFont="1">
      <alignment vertical="center"/>
    </xf>
    <xf numFmtId="0" fontId="71" fillId="0" borderId="0" xfId="0" applyFont="1">
      <alignment vertical="center"/>
    </xf>
    <xf numFmtId="0" fontId="71" fillId="0" borderId="0" xfId="0" applyFont="1" applyAlignment="1">
      <alignment vertical="center" wrapText="1"/>
    </xf>
    <xf numFmtId="0" fontId="23" fillId="0" borderId="0" xfId="0" applyFont="1">
      <alignment vertical="center"/>
    </xf>
    <xf numFmtId="0" fontId="9" fillId="0" borderId="0" xfId="0" applyFont="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4" fillId="0" borderId="6" xfId="0" applyFont="1" applyBorder="1" applyAlignment="1">
      <alignment horizontal="left" vertical="center" wrapText="1"/>
    </xf>
    <xf numFmtId="0" fontId="14" fillId="3" borderId="6" xfId="0" applyFont="1" applyFill="1" applyBorder="1" applyAlignment="1">
      <alignment horizontal="left" vertical="center" wrapText="1"/>
    </xf>
    <xf numFmtId="0" fontId="14" fillId="11" borderId="6" xfId="0" applyFont="1" applyFill="1" applyBorder="1" applyAlignment="1">
      <alignment horizontal="left" vertical="center" wrapText="1"/>
    </xf>
    <xf numFmtId="0" fontId="42" fillId="13" borderId="6" xfId="0" applyFont="1" applyFill="1" applyBorder="1" applyAlignment="1">
      <alignment horizontal="left" vertical="center"/>
    </xf>
    <xf numFmtId="0" fontId="7" fillId="13" borderId="6" xfId="0" applyFont="1" applyFill="1" applyBorder="1" applyAlignment="1">
      <alignment horizontal="left" vertical="center"/>
    </xf>
    <xf numFmtId="0" fontId="15" fillId="5" borderId="6" xfId="0" applyFont="1" applyFill="1" applyBorder="1" applyAlignment="1">
      <alignment horizontal="left" vertical="center" wrapText="1"/>
    </xf>
    <xf numFmtId="0" fontId="51" fillId="3" borderId="6" xfId="1" applyFont="1" applyFill="1" applyBorder="1" applyAlignment="1">
      <alignment horizontal="left" vertical="center" wrapText="1"/>
    </xf>
    <xf numFmtId="0" fontId="15" fillId="3" borderId="6" xfId="0" applyFont="1" applyFill="1" applyBorder="1" applyAlignment="1">
      <alignment horizontal="left" vertical="center" wrapText="1"/>
    </xf>
    <xf numFmtId="0" fontId="55" fillId="2" borderId="7" xfId="0" applyFont="1" applyFill="1" applyBorder="1" applyAlignment="1">
      <alignment horizontal="center" vertical="center" wrapText="1"/>
    </xf>
    <xf numFmtId="0" fontId="54" fillId="2" borderId="8" xfId="0" applyFont="1" applyFill="1" applyBorder="1" applyAlignment="1">
      <alignment horizontal="center" vertical="center" wrapText="1"/>
    </xf>
    <xf numFmtId="0" fontId="54" fillId="2" borderId="9" xfId="0" applyFont="1" applyFill="1" applyBorder="1" applyAlignment="1">
      <alignment horizontal="center" vertical="center" wrapText="1"/>
    </xf>
    <xf numFmtId="0" fontId="52" fillId="0" borderId="6" xfId="1" applyFont="1" applyFill="1" applyBorder="1" applyAlignment="1">
      <alignment horizontal="center" vertical="center"/>
    </xf>
    <xf numFmtId="0" fontId="53" fillId="0" borderId="0" xfId="0" applyFont="1" applyAlignment="1">
      <alignment horizontal="center" vertical="center" wrapText="1"/>
    </xf>
    <xf numFmtId="0" fontId="15" fillId="3" borderId="17"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21" xfId="0" applyFont="1" applyFill="1" applyBorder="1" applyAlignment="1">
      <alignment horizontal="center" vertical="center" wrapText="1"/>
    </xf>
    <xf numFmtId="0" fontId="15" fillId="3" borderId="22"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3" borderId="24" xfId="0" applyFont="1" applyFill="1" applyBorder="1" applyAlignment="1">
      <alignment horizontal="center" vertical="center" wrapText="1"/>
    </xf>
    <xf numFmtId="0" fontId="48" fillId="2" borderId="6" xfId="2" applyFont="1" applyFill="1" applyBorder="1" applyAlignment="1">
      <alignment horizontal="center" vertical="center" wrapText="1"/>
    </xf>
    <xf numFmtId="0" fontId="69" fillId="0" borderId="25" xfId="0" applyFont="1" applyBorder="1" applyAlignment="1">
      <alignment horizontal="center" vertical="center"/>
    </xf>
    <xf numFmtId="0" fontId="69" fillId="0" borderId="0" xfId="0" applyFont="1" applyAlignment="1">
      <alignment horizontal="center" vertical="center"/>
    </xf>
    <xf numFmtId="0" fontId="11" fillId="0" borderId="6" xfId="5" applyFont="1" applyBorder="1" applyAlignment="1">
      <alignment horizontal="center" vertical="center"/>
    </xf>
    <xf numFmtId="0" fontId="16" fillId="0" borderId="6" xfId="5" applyFont="1" applyBorder="1" applyAlignment="1">
      <alignment horizontal="center" vertical="center"/>
    </xf>
    <xf numFmtId="0" fontId="11" fillId="0" borderId="6" xfId="5" applyFont="1" applyBorder="1" applyAlignment="1">
      <alignment horizontal="center" vertical="center" wrapText="1"/>
    </xf>
    <xf numFmtId="0" fontId="16" fillId="0" borderId="6" xfId="5" applyFont="1" applyBorder="1" applyAlignment="1">
      <alignment horizontal="center" vertical="center" wrapText="1"/>
    </xf>
    <xf numFmtId="0" fontId="10" fillId="0" borderId="6" xfId="0" applyFont="1" applyBorder="1" applyAlignment="1">
      <alignment horizontal="left" vertical="center"/>
    </xf>
    <xf numFmtId="0" fontId="10" fillId="0" borderId="6" xfId="0" applyFont="1" applyBorder="1" applyAlignment="1">
      <alignment horizontal="center" vertical="center"/>
    </xf>
    <xf numFmtId="0" fontId="11" fillId="0" borderId="6" xfId="0" applyFont="1" applyBorder="1" applyAlignment="1">
      <alignment horizontal="left" vertical="center" wrapText="1"/>
    </xf>
    <xf numFmtId="0" fontId="11" fillId="0" borderId="6" xfId="0" applyFont="1" applyBorder="1" applyAlignment="1">
      <alignment horizontal="center" vertical="center" wrapText="1"/>
    </xf>
    <xf numFmtId="0" fontId="11" fillId="0" borderId="6" xfId="5" applyFont="1" applyBorder="1" applyAlignment="1">
      <alignment horizontal="left" vertical="center" wrapText="1"/>
    </xf>
    <xf numFmtId="0" fontId="11" fillId="0" borderId="6" xfId="5" applyFont="1" applyBorder="1" applyAlignment="1">
      <alignment horizontal="left" vertical="center"/>
    </xf>
    <xf numFmtId="0" fontId="16" fillId="0" borderId="6" xfId="5" applyFont="1" applyBorder="1" applyAlignment="1">
      <alignment horizontal="left" vertical="center"/>
    </xf>
    <xf numFmtId="0" fontId="30" fillId="9" borderId="4" xfId="5" applyFont="1" applyFill="1" applyBorder="1" applyAlignment="1">
      <alignment horizontal="center" vertical="center" wrapText="1"/>
    </xf>
    <xf numFmtId="0" fontId="30" fillId="0" borderId="4" xfId="5" applyFont="1" applyBorder="1" applyAlignment="1">
      <alignment horizontal="center" vertical="center" wrapText="1"/>
    </xf>
    <xf numFmtId="0" fontId="35" fillId="8" borderId="4" xfId="5" applyFont="1" applyFill="1" applyBorder="1" applyAlignment="1">
      <alignment horizontal="center" vertical="center" wrapText="1"/>
    </xf>
    <xf numFmtId="0" fontId="33" fillId="7" borderId="4" xfId="5" applyFont="1" applyFill="1" applyBorder="1" applyAlignment="1">
      <alignment horizontal="center" vertical="center"/>
    </xf>
    <xf numFmtId="0" fontId="34" fillId="0" borderId="4" xfId="5" applyFont="1" applyBorder="1" applyAlignment="1">
      <alignment horizontal="left" vertical="center" wrapText="1"/>
    </xf>
    <xf numFmtId="0" fontId="30" fillId="0" borderId="4" xfId="5" applyFont="1" applyBorder="1" applyAlignment="1">
      <alignment horizontal="left" vertical="center" wrapText="1"/>
    </xf>
    <xf numFmtId="0" fontId="35" fillId="8" borderId="4" xfId="5" applyFont="1" applyFill="1" applyBorder="1" applyAlignment="1">
      <alignment horizontal="center" vertical="center"/>
    </xf>
    <xf numFmtId="0" fontId="33" fillId="7" borderId="0" xfId="5" applyFont="1" applyFill="1" applyAlignment="1">
      <alignment horizontal="center" vertical="center"/>
    </xf>
    <xf numFmtId="0" fontId="33" fillId="7" borderId="16" xfId="5" applyFont="1" applyFill="1" applyBorder="1" applyAlignment="1">
      <alignment horizontal="center" vertical="center"/>
    </xf>
    <xf numFmtId="0" fontId="34" fillId="0" borderId="0" xfId="5" applyFont="1" applyAlignment="1">
      <alignment horizontal="left" vertical="center" wrapText="1"/>
    </xf>
    <xf numFmtId="0" fontId="30" fillId="0" borderId="0" xfId="5" applyFont="1" applyAlignment="1">
      <alignment horizontal="left" vertical="center" wrapText="1"/>
    </xf>
    <xf numFmtId="0" fontId="30" fillId="0" borderId="16" xfId="5" applyFont="1" applyBorder="1" applyAlignment="1">
      <alignment horizontal="left" vertical="center" wrapText="1"/>
    </xf>
    <xf numFmtId="0" fontId="31" fillId="6" borderId="0" xfId="0" applyFont="1" applyFill="1" applyAlignment="1">
      <alignment horizontal="center" vertical="center"/>
    </xf>
    <xf numFmtId="0" fontId="32" fillId="0" borderId="4" xfId="0" applyFont="1" applyBorder="1" applyAlignment="1">
      <alignment horizontal="left" vertical="center" wrapText="1"/>
    </xf>
    <xf numFmtId="0" fontId="32" fillId="0" borderId="13" xfId="0" applyFont="1" applyBorder="1" applyAlignment="1">
      <alignment horizontal="left" vertical="center"/>
    </xf>
    <xf numFmtId="0" fontId="32" fillId="0" borderId="14" xfId="0" applyFont="1" applyBorder="1" applyAlignment="1">
      <alignment horizontal="left" vertical="center"/>
    </xf>
    <xf numFmtId="0" fontId="32" fillId="0" borderId="15" xfId="0" applyFont="1" applyBorder="1" applyAlignment="1">
      <alignment horizontal="left" vertical="center"/>
    </xf>
    <xf numFmtId="0" fontId="32" fillId="0" borderId="4" xfId="0" applyFont="1" applyBorder="1" applyAlignment="1">
      <alignment horizontal="left" vertical="center"/>
    </xf>
    <xf numFmtId="0" fontId="2" fillId="2" borderId="1"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2" fillId="2" borderId="3" xfId="2" applyFont="1" applyFill="1" applyBorder="1" applyAlignment="1">
      <alignment horizontal="center" vertical="center" wrapText="1"/>
    </xf>
  </cellXfs>
  <cellStyles count="10">
    <cellStyle name="Hyperlink" xfId="1" builtinId="8"/>
    <cellStyle name="Normal" xfId="0" builtinId="0"/>
    <cellStyle name="常规 3" xfId="8" xr:uid="{00000000-0005-0000-0000-000038000000}"/>
    <cellStyle name="常规 3 2" xfId="4" xr:uid="{00000000-0005-0000-0000-000033000000}"/>
    <cellStyle name="常规 5 2" xfId="9" xr:uid="{00000000-0005-0000-0000-000039000000}"/>
    <cellStyle name="常规 6" xfId="7" xr:uid="{00000000-0005-0000-0000-000037000000}"/>
    <cellStyle name="常规_Sheet11_1" xfId="2" xr:uid="{00000000-0005-0000-0000-000031000000}"/>
    <cellStyle name="常规_Sheet2" xfId="6" xr:uid="{00000000-0005-0000-0000-000035000000}"/>
    <cellStyle name="常规_Sheet4" xfId="5" xr:uid="{00000000-0005-0000-0000-000034000000}"/>
    <cellStyle name="一般_SW Test plan" xfId="3" xr:uid="{00000000-0005-0000-0000-000032000000}"/>
  </cellStyles>
  <dxfs count="39">
    <dxf>
      <fill>
        <patternFill patternType="solid">
          <bgColor indexed="10"/>
        </patternFill>
      </fill>
    </dxf>
    <dxf>
      <fill>
        <patternFill patternType="solid">
          <bgColor rgb="FF00FF00"/>
        </patternFill>
      </fill>
    </dxf>
    <dxf>
      <fill>
        <patternFill patternType="solid">
          <bgColor rgb="FFFFC000"/>
        </patternFill>
      </fill>
    </dxf>
    <dxf>
      <font>
        <color rgb="FF000000"/>
      </font>
      <fill>
        <patternFill patternType="solid">
          <bgColor rgb="FF00FF00"/>
        </patternFill>
      </fill>
    </dxf>
    <dxf>
      <font>
        <color rgb="FF000000"/>
      </font>
      <fill>
        <patternFill patternType="solid">
          <bgColor rgb="FFFF0000"/>
        </patternFill>
      </fill>
    </dxf>
    <dxf>
      <font>
        <color rgb="FF000000"/>
      </font>
      <fill>
        <patternFill patternType="solid">
          <bgColor rgb="FFFFC000"/>
        </patternFill>
      </fill>
    </dxf>
    <dxf>
      <fill>
        <patternFill patternType="solid">
          <bgColor indexed="10"/>
        </patternFill>
      </fill>
    </dxf>
    <dxf>
      <fill>
        <patternFill patternType="solid">
          <bgColor rgb="FF00FF00"/>
        </patternFill>
      </fill>
    </dxf>
    <dxf>
      <fill>
        <patternFill patternType="solid">
          <bgColor rgb="FFFFC000"/>
        </patternFill>
      </fill>
    </dxf>
    <dxf>
      <fill>
        <patternFill patternType="solid">
          <bgColor indexed="10"/>
        </patternFill>
      </fill>
    </dxf>
    <dxf>
      <fill>
        <patternFill patternType="solid">
          <bgColor rgb="FF00FF00"/>
        </patternFill>
      </fill>
    </dxf>
    <dxf>
      <fill>
        <patternFill patternType="solid">
          <bgColor rgb="FFFFC000"/>
        </patternFill>
      </fill>
    </dxf>
    <dxf>
      <fill>
        <patternFill patternType="solid">
          <bgColor indexed="10"/>
        </patternFill>
      </fill>
    </dxf>
    <dxf>
      <fill>
        <patternFill patternType="solid">
          <bgColor rgb="FF00FF00"/>
        </patternFill>
      </fill>
    </dxf>
    <dxf>
      <fill>
        <patternFill patternType="solid">
          <bgColor rgb="FFFFC000"/>
        </patternFill>
      </fill>
    </dxf>
    <dxf>
      <fill>
        <patternFill patternType="solid">
          <bgColor indexed="10"/>
        </patternFill>
      </fill>
    </dxf>
    <dxf>
      <fill>
        <patternFill patternType="solid">
          <bgColor rgb="FF00FF00"/>
        </patternFill>
      </fill>
    </dxf>
    <dxf>
      <fill>
        <patternFill patternType="solid">
          <bgColor rgb="FFFFC000"/>
        </patternFill>
      </fill>
    </dxf>
    <dxf>
      <fill>
        <patternFill patternType="solid">
          <bgColor indexed="10"/>
        </patternFill>
      </fill>
    </dxf>
    <dxf>
      <fill>
        <patternFill patternType="solid">
          <bgColor rgb="FF00FF00"/>
        </patternFill>
      </fill>
    </dxf>
    <dxf>
      <fill>
        <patternFill patternType="solid">
          <bgColor rgb="FFFFC000"/>
        </patternFill>
      </fill>
    </dxf>
    <dxf>
      <fill>
        <patternFill patternType="solid">
          <bgColor indexed="10"/>
        </patternFill>
      </fill>
    </dxf>
    <dxf>
      <fill>
        <patternFill patternType="solid">
          <bgColor rgb="FF00FF00"/>
        </patternFill>
      </fill>
    </dxf>
    <dxf>
      <fill>
        <patternFill patternType="solid">
          <bgColor rgb="FFFFC000"/>
        </patternFill>
      </fill>
    </dxf>
    <dxf>
      <font>
        <color rgb="FF000000"/>
      </font>
      <fill>
        <patternFill patternType="solid">
          <bgColor rgb="FF00FF00"/>
        </patternFill>
      </fill>
    </dxf>
    <dxf>
      <font>
        <color rgb="FF000000"/>
      </font>
      <fill>
        <patternFill patternType="solid">
          <bgColor rgb="FFFF0000"/>
        </patternFill>
      </fill>
    </dxf>
    <dxf>
      <font>
        <color rgb="FF000000"/>
      </font>
      <fill>
        <patternFill patternType="solid">
          <bgColor rgb="FFFFC000"/>
        </patternFill>
      </fill>
    </dxf>
    <dxf>
      <fill>
        <patternFill patternType="solid">
          <bgColor indexed="10"/>
        </patternFill>
      </fill>
    </dxf>
    <dxf>
      <fill>
        <patternFill patternType="solid">
          <bgColor rgb="FF00FF00"/>
        </patternFill>
      </fill>
    </dxf>
    <dxf>
      <fill>
        <patternFill patternType="solid">
          <bgColor rgb="FFFFC000"/>
        </patternFill>
      </fill>
    </dxf>
    <dxf>
      <font>
        <color rgb="FF000000"/>
      </font>
      <fill>
        <patternFill patternType="solid">
          <bgColor rgb="FF00FF00"/>
        </patternFill>
      </fill>
    </dxf>
    <dxf>
      <font>
        <color rgb="FF000000"/>
      </font>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indexed="10"/>
        </patternFill>
      </fill>
    </dxf>
    <dxf>
      <fill>
        <patternFill patternType="solid">
          <bgColor rgb="FF00FF00"/>
        </patternFill>
      </fill>
    </dxf>
    <dxf>
      <fill>
        <patternFill patternType="solid">
          <bgColor rgb="FFFFC000"/>
        </patternFill>
      </fill>
    </dxf>
  </dxfs>
  <tableStyles count="0" defaultTableStyle="TableStyleMedium2" defaultPivotStyle="PivotStyleLight16"/>
  <colors>
    <mruColors>
      <color rgb="FF0D4AE5"/>
      <color rgb="FF0C40C6"/>
      <color rgb="FF0505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0</xdr:col>
      <xdr:colOff>427990</xdr:colOff>
      <xdr:row>0</xdr:row>
      <xdr:rowOff>8890</xdr:rowOff>
    </xdr:to>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525" y="0"/>
          <a:ext cx="418465" cy="889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0</xdr:rowOff>
    </xdr:from>
    <xdr:to>
      <xdr:col>0</xdr:col>
      <xdr:colOff>427990</xdr:colOff>
      <xdr:row>0</xdr:row>
      <xdr:rowOff>8890</xdr:rowOff>
    </xdr:to>
    <xdr:pic>
      <xdr:nvPicPr>
        <xdr:cNvPr id="2" name="Picture 4">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9525" y="0"/>
          <a:ext cx="418465" cy="8890"/>
        </a:xfrm>
        <a:prstGeom prst="rect">
          <a:avLst/>
        </a:prstGeom>
        <a:noFill/>
        <a:ln w="9525">
          <a:noFill/>
        </a:ln>
      </xdr:spPr>
    </xdr:pic>
    <xdr:clientData/>
  </xdr:twoCellAnchor>
  <xdr:twoCellAnchor>
    <xdr:from>
      <xdr:col>0</xdr:col>
      <xdr:colOff>9525</xdr:colOff>
      <xdr:row>0</xdr:row>
      <xdr:rowOff>0</xdr:rowOff>
    </xdr:from>
    <xdr:to>
      <xdr:col>0</xdr:col>
      <xdr:colOff>427990</xdr:colOff>
      <xdr:row>0</xdr:row>
      <xdr:rowOff>8890</xdr:rowOff>
    </xdr:to>
    <xdr:pic>
      <xdr:nvPicPr>
        <xdr:cNvPr id="3" name="Picture 4">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9525" y="0"/>
          <a:ext cx="418465" cy="889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workbookViewId="0">
      <selection activeCell="I26" sqref="I26"/>
    </sheetView>
  </sheetViews>
  <sheetFormatPr defaultColWidth="8.625" defaultRowHeight="12.95"/>
  <cols>
    <col min="1" max="1" width="16.125" style="113" customWidth="1"/>
    <col min="2" max="2" width="15.5" style="113" customWidth="1"/>
    <col min="3" max="3" width="8.5" style="113" customWidth="1"/>
    <col min="4" max="4" width="9.625" style="113" customWidth="1"/>
    <col min="5" max="5" width="10.125" style="113" customWidth="1"/>
    <col min="6" max="6" width="9.375" style="113" customWidth="1"/>
    <col min="7" max="7" width="10.125" style="113" customWidth="1"/>
    <col min="8" max="8" width="11.5" style="113" customWidth="1"/>
    <col min="9" max="9" width="16.125" style="113" customWidth="1"/>
    <col min="10" max="10" width="13" style="113" customWidth="1"/>
    <col min="11" max="16384" width="8.625" style="113"/>
  </cols>
  <sheetData>
    <row r="1" spans="1:9" ht="18" customHeight="1">
      <c r="A1" s="198" t="s">
        <v>0</v>
      </c>
      <c r="B1" s="198"/>
      <c r="C1" s="198"/>
      <c r="D1" s="198"/>
      <c r="E1" s="198"/>
      <c r="F1" s="198"/>
      <c r="G1" s="198"/>
      <c r="H1" s="198"/>
      <c r="I1" s="198"/>
    </row>
    <row r="2" spans="1:9" ht="12.75" customHeight="1">
      <c r="A2" s="115" t="s">
        <v>1</v>
      </c>
      <c r="B2" s="177"/>
      <c r="C2" s="177"/>
      <c r="D2" s="177"/>
      <c r="E2" s="177"/>
      <c r="F2" s="177"/>
      <c r="G2" s="177"/>
      <c r="H2" s="177"/>
      <c r="I2" s="177"/>
    </row>
    <row r="3" spans="1:9" ht="14.1">
      <c r="A3" s="115" t="s">
        <v>2</v>
      </c>
      <c r="B3" s="183"/>
      <c r="C3" s="177"/>
      <c r="D3" s="177"/>
      <c r="E3" s="177"/>
      <c r="F3" s="177"/>
      <c r="G3" s="177"/>
      <c r="H3" s="177"/>
      <c r="I3" s="177"/>
    </row>
    <row r="4" spans="1:9" ht="14.1">
      <c r="A4" s="115" t="s">
        <v>3</v>
      </c>
      <c r="B4" s="183"/>
      <c r="C4" s="177"/>
      <c r="D4" s="177"/>
      <c r="E4" s="177"/>
      <c r="F4" s="177"/>
      <c r="G4" s="177"/>
      <c r="H4" s="177"/>
      <c r="I4" s="177"/>
    </row>
    <row r="5" spans="1:9" ht="14.1">
      <c r="A5" s="115" t="s">
        <v>4</v>
      </c>
      <c r="B5" s="177"/>
      <c r="C5" s="177"/>
      <c r="D5" s="177"/>
      <c r="E5" s="177"/>
      <c r="F5" s="177"/>
      <c r="G5" s="177"/>
      <c r="H5" s="177"/>
      <c r="I5" s="177"/>
    </row>
    <row r="6" spans="1:9" ht="46.5" customHeight="1">
      <c r="A6" s="118" t="s">
        <v>5</v>
      </c>
      <c r="B6" s="181" t="s">
        <v>6</v>
      </c>
      <c r="C6" s="181"/>
      <c r="D6" s="181"/>
      <c r="E6" s="181"/>
      <c r="F6" s="181"/>
      <c r="G6" s="181"/>
      <c r="H6" s="181"/>
      <c r="I6" s="181"/>
    </row>
    <row r="7" spans="1:9" ht="18" customHeight="1">
      <c r="A7" s="118" t="s">
        <v>7</v>
      </c>
      <c r="B7" s="182"/>
      <c r="C7" s="177"/>
      <c r="D7" s="177"/>
      <c r="E7" s="177"/>
      <c r="F7" s="177"/>
      <c r="G7" s="177"/>
      <c r="H7" s="177"/>
      <c r="I7" s="177"/>
    </row>
    <row r="8" spans="1:9" ht="18" customHeight="1">
      <c r="A8" s="118" t="s">
        <v>8</v>
      </c>
      <c r="B8" s="183"/>
      <c r="C8" s="177"/>
      <c r="D8" s="177"/>
      <c r="E8" s="177"/>
      <c r="F8" s="177"/>
      <c r="G8" s="177"/>
      <c r="H8" s="177"/>
      <c r="I8" s="177"/>
    </row>
    <row r="9" spans="1:9" ht="20.100000000000001" customHeight="1">
      <c r="A9" s="134" t="s">
        <v>9</v>
      </c>
      <c r="B9" s="134" t="s">
        <v>10</v>
      </c>
      <c r="C9" s="134" t="s">
        <v>11</v>
      </c>
      <c r="D9" s="134" t="s">
        <v>12</v>
      </c>
      <c r="E9" s="134" t="s">
        <v>13</v>
      </c>
      <c r="F9" s="134" t="s">
        <v>14</v>
      </c>
      <c r="G9" s="135" t="s">
        <v>15</v>
      </c>
      <c r="H9" s="135" t="s">
        <v>16</v>
      </c>
      <c r="I9" s="123" t="s">
        <v>17</v>
      </c>
    </row>
    <row r="10" spans="1:9" ht="14.1">
      <c r="A10" s="119" t="s">
        <v>18</v>
      </c>
      <c r="B10" s="117" t="s">
        <v>19</v>
      </c>
      <c r="C10" s="120">
        <f>Wifi_function!G3</f>
        <v>110</v>
      </c>
      <c r="D10" s="120">
        <f>Wifi_function!H3</f>
        <v>0</v>
      </c>
      <c r="E10" s="120">
        <f>Wifi_function!I3</f>
        <v>0</v>
      </c>
      <c r="F10" s="120">
        <f>Wifi_function!J3</f>
        <v>110</v>
      </c>
      <c r="G10" s="121" t="e">
        <f>D10/(C10-F10)</f>
        <v>#DIV/0!</v>
      </c>
      <c r="H10" s="122" t="e">
        <f>IF(G10=100%,"Pass",IF(AND(G10&gt;0%,G10&lt;100%),"Fail",""))</f>
        <v>#DIV/0!</v>
      </c>
      <c r="I10" s="120"/>
    </row>
    <row r="11" spans="1:9" ht="14.1">
      <c r="A11" s="119" t="s">
        <v>20</v>
      </c>
      <c r="B11" s="116" t="s">
        <v>21</v>
      </c>
      <c r="C11" s="120">
        <f>'Wifi_throughput '!N3</f>
        <v>40</v>
      </c>
      <c r="D11" s="120">
        <f>'Wifi_throughput '!O3</f>
        <v>20</v>
      </c>
      <c r="E11" s="120">
        <f>'Wifi_throughput '!P3</f>
        <v>0</v>
      </c>
      <c r="F11" s="120">
        <f>'Wifi_throughput '!Q3</f>
        <v>20</v>
      </c>
      <c r="G11" s="121">
        <f t="shared" ref="G11:G25" si="0">D11/(C11-F11)</f>
        <v>1</v>
      </c>
      <c r="H11" s="122" t="str">
        <f t="shared" ref="H11:H25" si="1">IF(G11=100%,"Pass",IF(AND(G11&gt;0%,G11&lt;100%),"Fail",""))</f>
        <v>Pass</v>
      </c>
      <c r="I11" s="120"/>
    </row>
    <row r="12" spans="1:9" ht="14.1">
      <c r="A12" s="119" t="s">
        <v>22</v>
      </c>
      <c r="B12" s="117" t="s">
        <v>23</v>
      </c>
      <c r="C12" s="120">
        <f>WiFi_compatibility!G3</f>
        <v>5</v>
      </c>
      <c r="D12" s="120">
        <f>WiFi_compatibility!H3</f>
        <v>0</v>
      </c>
      <c r="E12" s="120">
        <f>WiFi_compatibility!I3</f>
        <v>0</v>
      </c>
      <c r="F12" s="120">
        <f>WiFi_compatibility!J3</f>
        <v>0</v>
      </c>
      <c r="G12" s="121">
        <f t="shared" si="0"/>
        <v>0</v>
      </c>
      <c r="H12" s="122" t="str">
        <f t="shared" si="1"/>
        <v/>
      </c>
      <c r="I12" s="120"/>
    </row>
    <row r="13" spans="1:9" ht="14.1">
      <c r="A13" s="187" t="s">
        <v>24</v>
      </c>
      <c r="B13" s="117" t="s">
        <v>25</v>
      </c>
      <c r="C13" s="120">
        <f>COUNTIFS('RVR&amp;RVO'!B:B,B13)</f>
        <v>4</v>
      </c>
      <c r="D13" s="120">
        <f>COUNTIFS('RVR&amp;RVO'!$B:$B,$B13,'RVR&amp;RVO'!$H:$H,D$9)</f>
        <v>0</v>
      </c>
      <c r="E13" s="120">
        <f>COUNTIFS('RVR&amp;RVO'!$B:$B,$B13,'RVR&amp;RVO'!$H:$H,E$9)</f>
        <v>0</v>
      </c>
      <c r="F13" s="120">
        <f>COUNTIFS('RVR&amp;RVO'!$B:$B,$B13,'RVR&amp;RVO'!$H:$H,F$9)</f>
        <v>0</v>
      </c>
      <c r="G13" s="121">
        <f t="shared" si="0"/>
        <v>0</v>
      </c>
      <c r="H13" s="122" t="str">
        <f t="shared" si="1"/>
        <v/>
      </c>
      <c r="I13" s="120"/>
    </row>
    <row r="14" spans="1:9" ht="14.1">
      <c r="A14" s="187"/>
      <c r="B14" s="117" t="s">
        <v>26</v>
      </c>
      <c r="C14" s="120">
        <f>COUNTIFS('RVR&amp;RVO'!B:B,B14)</f>
        <v>6</v>
      </c>
      <c r="D14" s="120">
        <f>COUNTIFS('RVR&amp;RVO'!$B:$B,$B14,'RVR&amp;RVO'!$H:$H,D$9)</f>
        <v>0</v>
      </c>
      <c r="E14" s="120">
        <f>COUNTIFS('RVR&amp;RVO'!$B:$B,$B14,'RVR&amp;RVO'!$H:$H,E$9)</f>
        <v>0</v>
      </c>
      <c r="F14" s="120">
        <f>COUNTIFS('RVR&amp;RVO'!$B:$B,$B14,'RVR&amp;RVO'!$H:$H,F$9)</f>
        <v>0</v>
      </c>
      <c r="G14" s="121">
        <f t="shared" si="0"/>
        <v>0</v>
      </c>
      <c r="H14" s="122" t="str">
        <f t="shared" si="1"/>
        <v/>
      </c>
      <c r="I14" s="120"/>
    </row>
    <row r="15" spans="1:9" ht="14.1">
      <c r="A15" s="187"/>
      <c r="B15" s="117" t="s">
        <v>27</v>
      </c>
      <c r="C15" s="120">
        <f>COUNTIFS('RVR&amp;RVO'!B:B,B15)</f>
        <v>4</v>
      </c>
      <c r="D15" s="120">
        <f>COUNTIFS('RVR&amp;RVO'!$B:$B,$B15,'RVR&amp;RVO'!$H:$H,D$9)</f>
        <v>0</v>
      </c>
      <c r="E15" s="120">
        <f>COUNTIFS('RVR&amp;RVO'!$B:$B,$B15,'RVR&amp;RVO'!$H:$H,E$9)</f>
        <v>0</v>
      </c>
      <c r="F15" s="120">
        <f>COUNTIFS('RVR&amp;RVO'!$B:$B,$B15,'RVR&amp;RVO'!$H:$H,F$9)</f>
        <v>0</v>
      </c>
      <c r="G15" s="121">
        <f t="shared" si="0"/>
        <v>0</v>
      </c>
      <c r="H15" s="122" t="str">
        <f t="shared" si="1"/>
        <v/>
      </c>
      <c r="I15" s="120"/>
    </row>
    <row r="16" spans="1:9" ht="14.1">
      <c r="A16" s="187"/>
      <c r="B16" s="117" t="s">
        <v>28</v>
      </c>
      <c r="C16" s="120">
        <f>COUNTIFS('RVR&amp;RVO'!B:B,B16)</f>
        <v>6</v>
      </c>
      <c r="D16" s="120">
        <f>COUNTIFS('RVR&amp;RVO'!$B:$B,$B16,'RVR&amp;RVO'!$H:$H,D$9)</f>
        <v>0</v>
      </c>
      <c r="E16" s="120">
        <f>COUNTIFS('RVR&amp;RVO'!$B:$B,$B16,'RVR&amp;RVO'!$H:$H,E$9)</f>
        <v>0</v>
      </c>
      <c r="F16" s="120">
        <f>COUNTIFS('RVR&amp;RVO'!$B:$B,$B16,'RVR&amp;RVO'!$H:$H,F$9)</f>
        <v>0</v>
      </c>
      <c r="G16" s="121">
        <f t="shared" si="0"/>
        <v>0</v>
      </c>
      <c r="H16" s="122" t="str">
        <f t="shared" si="1"/>
        <v/>
      </c>
      <c r="I16" s="120"/>
    </row>
    <row r="17" spans="1:9" ht="14.1">
      <c r="A17" s="119" t="s">
        <v>29</v>
      </c>
      <c r="B17" s="117" t="s">
        <v>19</v>
      </c>
      <c r="C17" s="120">
        <f>BT_function!G3</f>
        <v>70</v>
      </c>
      <c r="D17" s="120">
        <f>BT_function!H3</f>
        <v>0</v>
      </c>
      <c r="E17" s="120">
        <f>BT_function!I3</f>
        <v>0</v>
      </c>
      <c r="F17" s="120">
        <f>BT_function!J3</f>
        <v>70</v>
      </c>
      <c r="G17" s="121" t="e">
        <f t="shared" si="0"/>
        <v>#DIV/0!</v>
      </c>
      <c r="H17" s="122" t="e">
        <f t="shared" si="1"/>
        <v>#DIV/0!</v>
      </c>
      <c r="I17" s="120"/>
    </row>
    <row r="18" spans="1:9" ht="14.1">
      <c r="A18" s="187" t="s">
        <v>30</v>
      </c>
      <c r="B18" s="117" t="s">
        <v>31</v>
      </c>
      <c r="C18" s="120">
        <f>COUNTIFS(BT_compatibility!B:B,B18)</f>
        <v>10</v>
      </c>
      <c r="D18" s="120">
        <f>COUNTIFS(BT_compatibility!$B:$B,$B18,BT_compatibility!$H:$H,D$9)</f>
        <v>3</v>
      </c>
      <c r="E18" s="120">
        <f>COUNTIFS(BT_compatibility!$B:$B,$B18,BT_compatibility!$H:$H,E$9)</f>
        <v>5</v>
      </c>
      <c r="F18" s="120">
        <f>COUNTIFS(BT_compatibility!$B:$B,$B18,BT_compatibility!$H:$H,F$9)</f>
        <v>2</v>
      </c>
      <c r="G18" s="121">
        <f t="shared" si="0"/>
        <v>0.375</v>
      </c>
      <c r="H18" s="122" t="str">
        <f t="shared" si="1"/>
        <v>Fail</v>
      </c>
      <c r="I18" s="120"/>
    </row>
    <row r="19" spans="1:9" ht="14.1">
      <c r="A19" s="187"/>
      <c r="B19" s="117" t="s">
        <v>32</v>
      </c>
      <c r="C19" s="120">
        <f>COUNTIFS(BT_compatibility!B:B,B19)</f>
        <v>7</v>
      </c>
      <c r="D19" s="120">
        <f>COUNTIFS(BT_compatibility!$B:$B,$B19,BT_compatibility!$H:$H,D$9)</f>
        <v>0</v>
      </c>
      <c r="E19" s="120">
        <f>COUNTIFS(BT_compatibility!$B:$B,$B19,BT_compatibility!$H:$H,E$9)</f>
        <v>0</v>
      </c>
      <c r="F19" s="120">
        <f>COUNTIFS(BT_compatibility!$B:$B,$B19,BT_compatibility!$H:$H,F$9)</f>
        <v>7</v>
      </c>
      <c r="G19" s="121" t="e">
        <f t="shared" si="0"/>
        <v>#DIV/0!</v>
      </c>
      <c r="H19" s="122" t="e">
        <f t="shared" si="1"/>
        <v>#DIV/0!</v>
      </c>
      <c r="I19" s="120"/>
    </row>
    <row r="20" spans="1:9" ht="14.1">
      <c r="A20" s="187"/>
      <c r="B20" s="117" t="s">
        <v>33</v>
      </c>
      <c r="C20" s="120">
        <f>COUNTIFS(BT_compatibility!B:B,B20)</f>
        <v>4</v>
      </c>
      <c r="D20" s="120">
        <f>COUNTIFS(BT_compatibility!$B:$B,$B20,BT_compatibility!$H:$H,D$9)</f>
        <v>0</v>
      </c>
      <c r="E20" s="120">
        <f>COUNTIFS(BT_compatibility!$B:$B,$B20,BT_compatibility!$H:$H,E$9)</f>
        <v>0</v>
      </c>
      <c r="F20" s="120">
        <f>COUNTIFS(BT_compatibility!$B:$B,$B20,BT_compatibility!$H:$H,F$9)</f>
        <v>4</v>
      </c>
      <c r="G20" s="121" t="e">
        <f t="shared" si="0"/>
        <v>#DIV/0!</v>
      </c>
      <c r="H20" s="122" t="e">
        <f t="shared" si="1"/>
        <v>#DIV/0!</v>
      </c>
      <c r="I20" s="120"/>
    </row>
    <row r="21" spans="1:9" ht="18.75" customHeight="1">
      <c r="A21" s="187"/>
      <c r="B21" s="117" t="s">
        <v>34</v>
      </c>
      <c r="C21" s="120">
        <f>COUNTIFS(BT_compatibility!B:B,B21)</f>
        <v>2</v>
      </c>
      <c r="D21" s="120">
        <f>COUNTIFS(BT_compatibility!$B:$B,$B21,BT_compatibility!$H:$H,D$9)</f>
        <v>0</v>
      </c>
      <c r="E21" s="120">
        <f>COUNTIFS(BT_compatibility!$B:$B,$B21,BT_compatibility!$H:$H,E$9)</f>
        <v>0</v>
      </c>
      <c r="F21" s="120">
        <f>COUNTIFS(BT_compatibility!$B:$B,$B21,BT_compatibility!$H:$H,F$9)</f>
        <v>2</v>
      </c>
      <c r="G21" s="121" t="e">
        <f t="shared" si="0"/>
        <v>#DIV/0!</v>
      </c>
      <c r="H21" s="122" t="e">
        <f t="shared" si="1"/>
        <v>#DIV/0!</v>
      </c>
      <c r="I21" s="120"/>
    </row>
    <row r="22" spans="1:9" ht="14.1">
      <c r="A22" s="187"/>
      <c r="B22" s="117" t="s">
        <v>35</v>
      </c>
      <c r="C22" s="120">
        <f>COUNTIFS(BT_compatibility!B:B,B22)</f>
        <v>2</v>
      </c>
      <c r="D22" s="120">
        <f>COUNTIFS(BT_compatibility!$B:$B,$B22,BT_compatibility!$H:$H,D$9)</f>
        <v>0</v>
      </c>
      <c r="E22" s="120">
        <f>COUNTIFS(BT_compatibility!$B:$B,$B22,BT_compatibility!$H:$H,E$9)</f>
        <v>0</v>
      </c>
      <c r="F22" s="120">
        <f>COUNTIFS(BT_compatibility!$B:$B,$B22,BT_compatibility!$H:$H,F$9)</f>
        <v>2</v>
      </c>
      <c r="G22" s="121" t="e">
        <f t="shared" si="0"/>
        <v>#DIV/0!</v>
      </c>
      <c r="H22" s="122" t="e">
        <f t="shared" si="1"/>
        <v>#DIV/0!</v>
      </c>
      <c r="I22" s="120"/>
    </row>
    <row r="23" spans="1:9" ht="14.1">
      <c r="A23" s="187" t="s">
        <v>36</v>
      </c>
      <c r="B23" s="117" t="s">
        <v>37</v>
      </c>
      <c r="C23" s="120">
        <f>COUNTIFS(Stability!B:B,B23)</f>
        <v>5</v>
      </c>
      <c r="D23" s="120">
        <f>COUNTIFS(Stability!$B:$B,$B23,Stability!$I:$I,D$9)</f>
        <v>2</v>
      </c>
      <c r="E23" s="120">
        <f>COUNTIFS(Stability!$B:$B,$B23,Stability!$I:$I,E$9)</f>
        <v>1</v>
      </c>
      <c r="F23" s="120">
        <f>COUNTIFS(Stability!$B:$B,$B23,Stability!$I:$I,F$9)</f>
        <v>1</v>
      </c>
      <c r="G23" s="121">
        <f t="shared" si="0"/>
        <v>0.5</v>
      </c>
      <c r="H23" s="122" t="str">
        <f t="shared" si="1"/>
        <v>Fail</v>
      </c>
      <c r="I23" s="120"/>
    </row>
    <row r="24" spans="1:9" ht="14.1">
      <c r="A24" s="187"/>
      <c r="B24" s="117" t="s">
        <v>38</v>
      </c>
      <c r="C24" s="120">
        <f>COUNTIFS(Stability!B:B,B24)</f>
        <v>3</v>
      </c>
      <c r="D24" s="120">
        <f>COUNTIFS(Stability!$B:$B,$B24,Stability!$I:$I,D$9)</f>
        <v>0</v>
      </c>
      <c r="E24" s="120">
        <f>COUNTIFS(Stability!$B:$B,$B24,Stability!$I:$I,E$9)</f>
        <v>0</v>
      </c>
      <c r="F24" s="120">
        <f>COUNTIFS(Stability!$B:$B,$B24,Stability!$I:$I,F$9)</f>
        <v>3</v>
      </c>
      <c r="G24" s="121" t="e">
        <f t="shared" si="0"/>
        <v>#DIV/0!</v>
      </c>
      <c r="H24" s="122" t="e">
        <f t="shared" si="1"/>
        <v>#DIV/0!</v>
      </c>
      <c r="I24" s="120"/>
    </row>
    <row r="25" spans="1:9" ht="14.1">
      <c r="A25" s="187"/>
      <c r="B25" s="117" t="s">
        <v>39</v>
      </c>
      <c r="C25" s="120">
        <f>COUNTIFS(Stability!B:B,B25)</f>
        <v>8</v>
      </c>
      <c r="D25" s="120">
        <f>COUNTIFS(Stability!$B:$B,$B25,Stability!$I:$I,D$9)</f>
        <v>0</v>
      </c>
      <c r="E25" s="120">
        <f>COUNTIFS(Stability!$B:$B,$B25,Stability!$I:$I,E$9)</f>
        <v>0</v>
      </c>
      <c r="F25" s="120">
        <f>COUNTIFS(Stability!$B:$B,$B25,Stability!$I:$I,F$9)</f>
        <v>8</v>
      </c>
      <c r="G25" s="121" t="e">
        <f t="shared" si="0"/>
        <v>#DIV/0!</v>
      </c>
      <c r="H25" s="122" t="e">
        <f t="shared" si="1"/>
        <v>#DIV/0!</v>
      </c>
      <c r="I25" s="120"/>
    </row>
    <row r="26" spans="1:9" ht="14.1">
      <c r="A26" s="188" t="s">
        <v>40</v>
      </c>
      <c r="B26" s="117" t="s">
        <v>41</v>
      </c>
      <c r="C26" s="189" t="s">
        <v>42</v>
      </c>
      <c r="D26" s="190"/>
      <c r="E26" s="190"/>
      <c r="F26" s="190"/>
      <c r="G26" s="191"/>
      <c r="H26" s="122"/>
      <c r="I26" s="120"/>
    </row>
    <row r="27" spans="1:9" ht="14.1">
      <c r="A27" s="188"/>
      <c r="B27" s="117" t="s">
        <v>43</v>
      </c>
      <c r="C27" s="192"/>
      <c r="D27" s="193"/>
      <c r="E27" s="193"/>
      <c r="F27" s="193"/>
      <c r="G27" s="194"/>
      <c r="H27" s="122"/>
      <c r="I27" s="120"/>
    </row>
    <row r="28" spans="1:9" ht="14.1">
      <c r="A28" s="188"/>
      <c r="B28" s="117" t="s">
        <v>44</v>
      </c>
      <c r="C28" s="192"/>
      <c r="D28" s="193"/>
      <c r="E28" s="193"/>
      <c r="F28" s="193"/>
      <c r="G28" s="194"/>
      <c r="H28" s="122"/>
      <c r="I28" s="120"/>
    </row>
    <row r="29" spans="1:9" ht="14.1">
      <c r="A29" s="188"/>
      <c r="B29" s="117" t="s">
        <v>45</v>
      </c>
      <c r="C29" s="195"/>
      <c r="D29" s="196"/>
      <c r="E29" s="196"/>
      <c r="F29" s="196"/>
      <c r="G29" s="197"/>
      <c r="H29" s="122"/>
      <c r="I29" s="120"/>
    </row>
    <row r="30" spans="1:9">
      <c r="A30" s="123" t="s">
        <v>46</v>
      </c>
      <c r="B30" s="184" t="s">
        <v>47</v>
      </c>
      <c r="C30" s="185"/>
      <c r="D30" s="185"/>
      <c r="E30" s="185"/>
      <c r="F30" s="186"/>
      <c r="G30" s="123" t="s">
        <v>48</v>
      </c>
      <c r="H30" s="124" t="s">
        <v>49</v>
      </c>
      <c r="I30" s="123" t="s">
        <v>17</v>
      </c>
    </row>
    <row r="31" spans="1:9" customFormat="1" ht="14.1">
      <c r="A31" s="179" t="s">
        <v>50</v>
      </c>
      <c r="B31" s="180"/>
      <c r="C31" s="180"/>
      <c r="D31" s="180"/>
      <c r="E31" s="180"/>
      <c r="F31" s="180"/>
      <c r="G31" s="180"/>
      <c r="H31" s="180"/>
      <c r="I31" s="180"/>
    </row>
    <row r="32" spans="1:9" ht="14.1">
      <c r="A32" s="125"/>
      <c r="B32" s="64"/>
      <c r="C32" s="176"/>
      <c r="D32" s="176"/>
      <c r="E32" s="176"/>
      <c r="F32" s="176"/>
      <c r="G32" s="125"/>
      <c r="H32" s="127"/>
      <c r="I32" s="126"/>
    </row>
    <row r="33" spans="1:9" ht="14.1">
      <c r="A33" s="125"/>
      <c r="B33" s="64"/>
      <c r="C33" s="176"/>
      <c r="D33" s="176"/>
      <c r="E33" s="176"/>
      <c r="F33" s="176"/>
      <c r="G33" s="125"/>
      <c r="H33" s="127"/>
      <c r="I33" s="126"/>
    </row>
    <row r="34" spans="1:9" customFormat="1" ht="14.1">
      <c r="A34" s="179" t="s">
        <v>51</v>
      </c>
      <c r="B34" s="180"/>
      <c r="C34" s="180"/>
      <c r="D34" s="180"/>
      <c r="E34" s="180"/>
      <c r="F34" s="180"/>
      <c r="G34" s="180"/>
      <c r="H34" s="180"/>
      <c r="I34" s="180"/>
    </row>
    <row r="35" spans="1:9" ht="14.1">
      <c r="A35" s="125"/>
      <c r="B35" s="64"/>
      <c r="C35" s="177"/>
      <c r="D35" s="177"/>
      <c r="E35" s="177"/>
      <c r="F35" s="177"/>
      <c r="G35" s="125"/>
      <c r="H35" s="127"/>
      <c r="I35" s="126"/>
    </row>
    <row r="36" spans="1:9" s="114" customFormat="1" ht="14.1">
      <c r="A36" s="125"/>
      <c r="B36" s="64"/>
      <c r="C36" s="177"/>
      <c r="D36" s="177"/>
      <c r="E36" s="177"/>
      <c r="F36" s="177"/>
      <c r="G36" s="125"/>
      <c r="H36" s="127"/>
      <c r="I36" s="126"/>
    </row>
    <row r="37" spans="1:9" s="114" customFormat="1" ht="14.1">
      <c r="A37" s="125"/>
      <c r="B37" s="64"/>
      <c r="C37" s="177"/>
      <c r="D37" s="177"/>
      <c r="E37" s="177"/>
      <c r="F37" s="177"/>
      <c r="G37" s="125"/>
      <c r="H37" s="127"/>
      <c r="I37" s="126"/>
    </row>
    <row r="38" spans="1:9" ht="27.95">
      <c r="A38" s="128" t="s">
        <v>52</v>
      </c>
      <c r="B38" s="128" t="s">
        <v>53</v>
      </c>
      <c r="C38" s="178" t="s">
        <v>17</v>
      </c>
      <c r="D38" s="178"/>
      <c r="E38" s="178"/>
      <c r="F38" s="178"/>
      <c r="G38" s="178" t="s">
        <v>54</v>
      </c>
      <c r="H38" s="178"/>
      <c r="I38" s="129"/>
    </row>
    <row r="39" spans="1:9" ht="33.950000000000003">
      <c r="A39" s="128" t="s">
        <v>55</v>
      </c>
      <c r="B39" s="127"/>
      <c r="C39" s="176"/>
      <c r="D39" s="176"/>
      <c r="E39" s="176"/>
      <c r="F39" s="176"/>
      <c r="G39" s="176"/>
      <c r="H39" s="176"/>
      <c r="I39" s="130"/>
    </row>
    <row r="40" spans="1:9" ht="17.100000000000001">
      <c r="A40" s="128" t="s">
        <v>56</v>
      </c>
      <c r="B40" s="127"/>
      <c r="C40" s="176"/>
      <c r="D40" s="176"/>
      <c r="E40" s="176"/>
      <c r="F40" s="176"/>
      <c r="G40" s="176"/>
      <c r="H40" s="176"/>
      <c r="I40" s="130"/>
    </row>
    <row r="41" spans="1:9" ht="30.95">
      <c r="A41" s="128" t="s">
        <v>57</v>
      </c>
      <c r="B41" s="127"/>
      <c r="C41" s="176"/>
      <c r="D41" s="176"/>
      <c r="E41" s="176"/>
      <c r="F41" s="176"/>
      <c r="G41" s="176"/>
      <c r="H41" s="176"/>
      <c r="I41" s="130"/>
    </row>
    <row r="42" spans="1:9" ht="30.95">
      <c r="A42" s="128" t="s">
        <v>58</v>
      </c>
      <c r="B42" s="127"/>
      <c r="C42" s="176"/>
      <c r="D42" s="176"/>
      <c r="E42" s="176"/>
      <c r="F42" s="176"/>
      <c r="G42" s="176"/>
      <c r="H42" s="176"/>
      <c r="I42" s="130"/>
    </row>
  </sheetData>
  <sheetProtection formatCells="0" formatColumns="0" formatRows="0" insertColumns="0" insertRows="0" insertHyperlinks="0" deleteColumns="0" deleteRows="0" sort="0" autoFilter="0" pivotTables="0"/>
  <mergeCells count="31">
    <mergeCell ref="A1:I1"/>
    <mergeCell ref="B2:I2"/>
    <mergeCell ref="B3:I3"/>
    <mergeCell ref="B4:I4"/>
    <mergeCell ref="B5:I5"/>
    <mergeCell ref="B6:I6"/>
    <mergeCell ref="B7:I7"/>
    <mergeCell ref="B8:I8"/>
    <mergeCell ref="B30:F30"/>
    <mergeCell ref="A31:I31"/>
    <mergeCell ref="A13:A16"/>
    <mergeCell ref="A18:A22"/>
    <mergeCell ref="A23:A25"/>
    <mergeCell ref="A26:A29"/>
    <mergeCell ref="C26:G29"/>
    <mergeCell ref="C32:F32"/>
    <mergeCell ref="C33:F33"/>
    <mergeCell ref="A34:I34"/>
    <mergeCell ref="C35:F35"/>
    <mergeCell ref="C36:F36"/>
    <mergeCell ref="C37:F37"/>
    <mergeCell ref="C38:F38"/>
    <mergeCell ref="G38:H38"/>
    <mergeCell ref="C39:F39"/>
    <mergeCell ref="G39:H39"/>
    <mergeCell ref="C40:F40"/>
    <mergeCell ref="G40:H40"/>
    <mergeCell ref="C41:F41"/>
    <mergeCell ref="G41:H41"/>
    <mergeCell ref="C42:F42"/>
    <mergeCell ref="G42:H42"/>
  </mergeCells>
  <phoneticPr fontId="25" type="noConversion"/>
  <dataValidations count="1">
    <dataValidation allowBlank="1" showInputMessage="1" showErrorMessage="1" sqref="F4 F1:F2 F7:F8" xr:uid="{00000000-0002-0000-0000-000000000000}"/>
  </dataValidations>
  <hyperlinks>
    <hyperlink ref="A10" location="wifi_function!A1" display="Wifi_function" xr:uid="{00000000-0004-0000-0000-000000000000}"/>
    <hyperlink ref="A17" location="BT_function!A1" display="BT_function" xr:uid="{00000000-0004-0000-0000-000001000000}"/>
    <hyperlink ref="A23" location="Stability!A1" display="Stability" xr:uid="{00000000-0004-0000-0000-000002000000}"/>
    <hyperlink ref="A13" location="'RVR&amp;RVO'!A1" display="RVR&amp;RVO" xr:uid="{00000000-0004-0000-0000-000003000000}"/>
    <hyperlink ref="A11" location="'Wifi_throughput '!A1" display="Wifi_throughput" xr:uid="{00000000-0004-0000-0000-000004000000}"/>
    <hyperlink ref="A12" location="WiFi_compatibility!A1" display="WiFi_compatibility" xr:uid="{00000000-0004-0000-0000-000005000000}"/>
    <hyperlink ref="A18" location="BT_compatibility!A1" display="BT_compatibility" xr:uid="{00000000-0004-0000-0000-000006000000}"/>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4"/>
  <sheetViews>
    <sheetView tabSelected="1" view="pageBreakPreview" zoomScaleNormal="70" workbookViewId="0">
      <pane ySplit="4" topLeftCell="A80" activePane="bottomLeft" state="frozen"/>
      <selection pane="bottomLeft" activeCell="N82" sqref="N82"/>
    </sheetView>
  </sheetViews>
  <sheetFormatPr defaultColWidth="9" defaultRowHeight="12"/>
  <cols>
    <col min="1" max="1" width="15.125" style="57" customWidth="1"/>
    <col min="2" max="2" width="16.875" style="57" customWidth="1"/>
    <col min="3" max="3" width="17.75" style="57" customWidth="1"/>
    <col min="4" max="4" width="13.375" style="57" customWidth="1"/>
    <col min="5" max="5" width="32.375" style="57" customWidth="1"/>
    <col min="6" max="6" width="41.5" style="57" customWidth="1"/>
    <col min="7" max="7" width="8.875" style="58" hidden="1" customWidth="1"/>
    <col min="8" max="8" width="12.875" style="57" hidden="1" customWidth="1"/>
    <col min="9" max="9" width="11.875" style="57" hidden="1" customWidth="1"/>
    <col min="10" max="10" width="10.125" style="57" hidden="1" customWidth="1"/>
    <col min="11" max="11" width="0" style="57" hidden="1" customWidth="1"/>
    <col min="12" max="12" width="22.875" style="57" customWidth="1"/>
    <col min="13" max="13" width="12.5" style="57" bestFit="1" customWidth="1"/>
    <col min="14" max="14" width="25.25" style="57" customWidth="1"/>
    <col min="15" max="15" width="55.375" style="57" customWidth="1"/>
    <col min="16" max="16" width="169.375" style="171" customWidth="1"/>
    <col min="17" max="16384" width="9" style="57"/>
  </cols>
  <sheetData>
    <row r="1" spans="1:19" ht="20.25">
      <c r="A1" s="172" t="s">
        <v>59</v>
      </c>
      <c r="B1" s="172"/>
      <c r="C1" s="172"/>
      <c r="D1" s="172"/>
      <c r="E1" s="172"/>
      <c r="F1" s="172"/>
      <c r="G1" s="172"/>
      <c r="H1" s="172"/>
      <c r="I1" s="172"/>
      <c r="J1" s="172"/>
      <c r="K1" s="172"/>
      <c r="L1" s="172"/>
      <c r="M1" s="136"/>
      <c r="N1" s="136"/>
      <c r="O1" s="136"/>
      <c r="P1" s="166"/>
      <c r="Q1" s="136"/>
      <c r="R1" s="136"/>
      <c r="S1" s="136"/>
    </row>
    <row r="2" spans="1:19">
      <c r="A2" s="12" t="s">
        <v>60</v>
      </c>
      <c r="B2" s="13" t="str">
        <f>IF(Summary!B3="","",Summary!B3)</f>
        <v/>
      </c>
      <c r="C2" s="12" t="s">
        <v>61</v>
      </c>
      <c r="D2" s="13" t="str">
        <f>IF(Summary!B4="","",Summary!B4)</f>
        <v/>
      </c>
      <c r="E2" s="12" t="s">
        <v>8</v>
      </c>
      <c r="F2" s="14" t="str">
        <f>IF(Summary!B8="","",Summary!B8)</f>
        <v/>
      </c>
      <c r="G2" s="15" t="s">
        <v>11</v>
      </c>
      <c r="H2" s="15" t="s">
        <v>12</v>
      </c>
      <c r="I2" s="16" t="s">
        <v>13</v>
      </c>
      <c r="J2" s="15" t="s">
        <v>14</v>
      </c>
      <c r="K2" s="136"/>
      <c r="L2" s="136"/>
      <c r="M2" s="136"/>
      <c r="N2" s="136"/>
      <c r="O2" s="136"/>
      <c r="P2" s="166"/>
      <c r="Q2" s="136"/>
      <c r="R2" s="136"/>
      <c r="S2" s="136"/>
    </row>
    <row r="3" spans="1:19" ht="13.5">
      <c r="A3" s="16" t="s">
        <v>62</v>
      </c>
      <c r="B3" s="173"/>
      <c r="C3" s="174"/>
      <c r="D3" s="174"/>
      <c r="E3" s="174"/>
      <c r="F3" s="175"/>
      <c r="G3" s="17">
        <f>COUNTIFS(A:A,"*")-4</f>
        <v>110</v>
      </c>
      <c r="H3" s="17">
        <f>COUNTIFS($H4:$H451,H2)</f>
        <v>0</v>
      </c>
      <c r="I3" s="17">
        <f>COUNTIFS($H4:$H451,I2)</f>
        <v>0</v>
      </c>
      <c r="J3" s="17">
        <f>COUNTIFS($H4:$H451,J2)</f>
        <v>110</v>
      </c>
      <c r="K3" s="136"/>
      <c r="L3" s="136"/>
      <c r="M3" s="136"/>
      <c r="N3"/>
      <c r="O3"/>
      <c r="P3"/>
      <c r="Q3"/>
      <c r="R3"/>
      <c r="S3"/>
    </row>
    <row r="4" spans="1:19" ht="22.5">
      <c r="A4" s="137" t="s">
        <v>63</v>
      </c>
      <c r="B4" s="137" t="s">
        <v>64</v>
      </c>
      <c r="C4" s="61" t="s">
        <v>65</v>
      </c>
      <c r="D4" s="61" t="s">
        <v>66</v>
      </c>
      <c r="E4" s="138" t="s">
        <v>67</v>
      </c>
      <c r="F4" s="137" t="s">
        <v>68</v>
      </c>
      <c r="G4" s="137" t="s">
        <v>48</v>
      </c>
      <c r="H4" s="137" t="s">
        <v>69</v>
      </c>
      <c r="I4" s="137" t="s">
        <v>70</v>
      </c>
      <c r="J4" s="139" t="s">
        <v>71</v>
      </c>
      <c r="K4" s="140" t="s">
        <v>72</v>
      </c>
      <c r="L4" s="140" t="s">
        <v>73</v>
      </c>
      <c r="M4" s="132" t="s">
        <v>74</v>
      </c>
      <c r="N4" s="132" t="s">
        <v>75</v>
      </c>
      <c r="O4" s="168" t="s">
        <v>76</v>
      </c>
      <c r="P4" s="168" t="s">
        <v>77</v>
      </c>
      <c r="Q4"/>
      <c r="R4"/>
      <c r="S4"/>
    </row>
    <row r="5" spans="1:19" ht="234.75">
      <c r="A5" s="25" t="s">
        <v>78</v>
      </c>
      <c r="B5" s="29" t="s">
        <v>79</v>
      </c>
      <c r="C5" s="141" t="s">
        <v>80</v>
      </c>
      <c r="D5" s="141" t="s">
        <v>81</v>
      </c>
      <c r="E5" s="141" t="s">
        <v>82</v>
      </c>
      <c r="F5" s="141" t="s">
        <v>83</v>
      </c>
      <c r="G5" s="25" t="s">
        <v>84</v>
      </c>
      <c r="H5" s="142" t="s">
        <v>14</v>
      </c>
      <c r="I5" s="141"/>
      <c r="J5" s="30" t="s">
        <v>85</v>
      </c>
      <c r="K5" s="26" t="s">
        <v>86</v>
      </c>
      <c r="L5" s="26" t="s">
        <v>86</v>
      </c>
      <c r="M5" s="133" t="s">
        <v>86</v>
      </c>
      <c r="N5" s="133"/>
      <c r="O5" s="170" t="s">
        <v>87</v>
      </c>
      <c r="P5" s="170" t="s">
        <v>88</v>
      </c>
      <c r="Q5" s="136"/>
      <c r="R5" s="136"/>
      <c r="S5" s="136"/>
    </row>
    <row r="6" spans="1:19" ht="303.75">
      <c r="A6" s="25" t="s">
        <v>89</v>
      </c>
      <c r="B6" s="29" t="s">
        <v>79</v>
      </c>
      <c r="C6" s="141" t="s">
        <v>90</v>
      </c>
      <c r="D6" s="141" t="s">
        <v>81</v>
      </c>
      <c r="E6" s="141" t="s">
        <v>91</v>
      </c>
      <c r="F6" s="141" t="s">
        <v>92</v>
      </c>
      <c r="G6" s="25" t="s">
        <v>84</v>
      </c>
      <c r="H6" s="142" t="s">
        <v>14</v>
      </c>
      <c r="I6" s="141"/>
      <c r="J6" s="30" t="s">
        <v>85</v>
      </c>
      <c r="K6" s="26" t="s">
        <v>86</v>
      </c>
      <c r="L6" s="26" t="s">
        <v>86</v>
      </c>
      <c r="M6" s="133" t="s">
        <v>86</v>
      </c>
      <c r="N6" s="136"/>
      <c r="O6" s="170" t="s">
        <v>93</v>
      </c>
      <c r="P6" s="170" t="s">
        <v>94</v>
      </c>
      <c r="Q6" s="136"/>
      <c r="R6" s="136"/>
      <c r="S6" s="136"/>
    </row>
    <row r="7" spans="1:19" ht="358.5">
      <c r="A7" s="25" t="s">
        <v>95</v>
      </c>
      <c r="B7" s="29" t="s">
        <v>79</v>
      </c>
      <c r="C7" s="141" t="s">
        <v>96</v>
      </c>
      <c r="D7" s="141" t="s">
        <v>97</v>
      </c>
      <c r="E7" s="141" t="s">
        <v>98</v>
      </c>
      <c r="F7" s="141" t="s">
        <v>99</v>
      </c>
      <c r="G7" s="25" t="s">
        <v>100</v>
      </c>
      <c r="H7" s="142" t="s">
        <v>14</v>
      </c>
      <c r="I7" s="131"/>
      <c r="J7" s="30" t="s">
        <v>85</v>
      </c>
      <c r="K7" s="26"/>
      <c r="L7" s="26"/>
      <c r="M7" s="133" t="s">
        <v>86</v>
      </c>
      <c r="N7" s="136"/>
      <c r="O7" s="170" t="s">
        <v>101</v>
      </c>
      <c r="P7" s="170" t="s">
        <v>102</v>
      </c>
      <c r="Q7" s="136"/>
      <c r="R7" s="136"/>
      <c r="S7" s="136"/>
    </row>
    <row r="8" spans="1:19" ht="276">
      <c r="A8" s="25" t="s">
        <v>103</v>
      </c>
      <c r="B8" s="29" t="s">
        <v>79</v>
      </c>
      <c r="C8" s="141" t="s">
        <v>104</v>
      </c>
      <c r="D8" s="141" t="s">
        <v>105</v>
      </c>
      <c r="E8" s="141" t="s">
        <v>106</v>
      </c>
      <c r="F8" s="141" t="s">
        <v>107</v>
      </c>
      <c r="G8" s="25" t="s">
        <v>100</v>
      </c>
      <c r="H8" s="142" t="s">
        <v>14</v>
      </c>
      <c r="I8" s="141"/>
      <c r="J8" s="30" t="s">
        <v>85</v>
      </c>
      <c r="K8" s="26" t="s">
        <v>86</v>
      </c>
      <c r="L8" s="26" t="s">
        <v>86</v>
      </c>
      <c r="M8" s="133" t="s">
        <v>86</v>
      </c>
      <c r="N8" s="136"/>
      <c r="O8" s="170" t="s">
        <v>108</v>
      </c>
      <c r="P8" s="170" t="s">
        <v>109</v>
      </c>
      <c r="Q8" s="136"/>
      <c r="R8" s="136"/>
      <c r="S8" s="136"/>
    </row>
    <row r="9" spans="1:19" ht="276">
      <c r="A9" s="25" t="s">
        <v>110</v>
      </c>
      <c r="B9" s="29" t="s">
        <v>79</v>
      </c>
      <c r="C9" s="141" t="s">
        <v>111</v>
      </c>
      <c r="D9" s="141" t="s">
        <v>105</v>
      </c>
      <c r="E9" s="141" t="s">
        <v>112</v>
      </c>
      <c r="F9" s="141" t="s">
        <v>113</v>
      </c>
      <c r="G9" s="25" t="s">
        <v>100</v>
      </c>
      <c r="H9" s="142" t="s">
        <v>14</v>
      </c>
      <c r="I9" s="141"/>
      <c r="J9" s="30" t="s">
        <v>85</v>
      </c>
      <c r="K9" s="26"/>
      <c r="L9" s="26"/>
      <c r="M9" s="133" t="s">
        <v>86</v>
      </c>
      <c r="N9" s="136"/>
      <c r="O9" s="170" t="s">
        <v>114</v>
      </c>
      <c r="P9" s="170" t="s">
        <v>115</v>
      </c>
      <c r="Q9" s="136"/>
      <c r="R9" s="136"/>
      <c r="S9" s="136"/>
    </row>
    <row r="10" spans="1:19" ht="290.25">
      <c r="A10" s="25" t="s">
        <v>116</v>
      </c>
      <c r="B10" s="29" t="s">
        <v>79</v>
      </c>
      <c r="C10" s="141" t="s">
        <v>117</v>
      </c>
      <c r="D10" s="141" t="s">
        <v>97</v>
      </c>
      <c r="E10" s="141" t="s">
        <v>118</v>
      </c>
      <c r="F10" s="141" t="s">
        <v>119</v>
      </c>
      <c r="G10" s="25" t="s">
        <v>100</v>
      </c>
      <c r="H10" s="142" t="s">
        <v>14</v>
      </c>
      <c r="I10" s="131"/>
      <c r="J10" s="30" t="s">
        <v>85</v>
      </c>
      <c r="K10" s="26"/>
      <c r="L10" s="26"/>
      <c r="M10" s="133" t="s">
        <v>86</v>
      </c>
      <c r="N10" s="136" t="s">
        <v>120</v>
      </c>
      <c r="O10" s="170" t="s">
        <v>121</v>
      </c>
      <c r="P10" s="170" t="s">
        <v>122</v>
      </c>
      <c r="Q10" s="136"/>
      <c r="R10" s="136"/>
      <c r="S10" s="136"/>
    </row>
    <row r="11" spans="1:19" ht="290.25">
      <c r="A11" s="25" t="s">
        <v>123</v>
      </c>
      <c r="B11" s="29" t="s">
        <v>79</v>
      </c>
      <c r="C11" s="26" t="s">
        <v>124</v>
      </c>
      <c r="D11" s="26"/>
      <c r="E11" s="26" t="s">
        <v>125</v>
      </c>
      <c r="F11" s="26" t="s">
        <v>126</v>
      </c>
      <c r="G11" s="25" t="s">
        <v>100</v>
      </c>
      <c r="H11" s="142" t="s">
        <v>14</v>
      </c>
      <c r="I11" s="26"/>
      <c r="J11" s="30" t="s">
        <v>85</v>
      </c>
      <c r="K11" s="26"/>
      <c r="L11" s="26"/>
      <c r="M11" s="133" t="s">
        <v>86</v>
      </c>
      <c r="N11" s="136"/>
      <c r="O11" s="170" t="s">
        <v>127</v>
      </c>
      <c r="P11" s="170" t="s">
        <v>128</v>
      </c>
      <c r="Q11" s="136"/>
      <c r="R11" s="136"/>
      <c r="S11" s="136"/>
    </row>
    <row r="12" spans="1:19" ht="249">
      <c r="A12" s="25" t="s">
        <v>129</v>
      </c>
      <c r="B12" s="29" t="s">
        <v>79</v>
      </c>
      <c r="C12" s="26" t="s">
        <v>130</v>
      </c>
      <c r="D12" s="26"/>
      <c r="E12" s="29" t="s">
        <v>131</v>
      </c>
      <c r="F12" s="29" t="s">
        <v>132</v>
      </c>
      <c r="G12" s="25" t="s">
        <v>100</v>
      </c>
      <c r="H12" s="142" t="s">
        <v>14</v>
      </c>
      <c r="I12" s="29"/>
      <c r="J12" s="30" t="s">
        <v>85</v>
      </c>
      <c r="K12" s="26" t="s">
        <v>86</v>
      </c>
      <c r="L12" s="26" t="s">
        <v>86</v>
      </c>
      <c r="M12" s="133" t="s">
        <v>86</v>
      </c>
      <c r="N12" s="136"/>
      <c r="O12" s="170" t="s">
        <v>133</v>
      </c>
      <c r="P12" s="170" t="s">
        <v>134</v>
      </c>
      <c r="Q12" s="136"/>
      <c r="R12" s="136"/>
      <c r="S12" s="136"/>
    </row>
    <row r="13" spans="1:19" ht="234.75">
      <c r="A13" s="25" t="s">
        <v>135</v>
      </c>
      <c r="B13" s="29" t="s">
        <v>79</v>
      </c>
      <c r="C13" s="26" t="s">
        <v>136</v>
      </c>
      <c r="D13" s="26"/>
      <c r="E13" s="26" t="s">
        <v>137</v>
      </c>
      <c r="F13" s="26" t="s">
        <v>138</v>
      </c>
      <c r="G13" s="25" t="s">
        <v>100</v>
      </c>
      <c r="H13" s="142" t="s">
        <v>14</v>
      </c>
      <c r="I13" s="26"/>
      <c r="J13" s="30" t="s">
        <v>85</v>
      </c>
      <c r="K13" s="26"/>
      <c r="L13" s="26"/>
      <c r="M13" s="133" t="s">
        <v>86</v>
      </c>
      <c r="N13" s="136"/>
      <c r="O13" s="170" t="s">
        <v>139</v>
      </c>
      <c r="P13" s="170" t="s">
        <v>140</v>
      </c>
      <c r="Q13" s="136"/>
      <c r="R13" s="136"/>
      <c r="S13" s="136"/>
    </row>
    <row r="14" spans="1:19" ht="262.5">
      <c r="A14" s="25" t="s">
        <v>141</v>
      </c>
      <c r="B14" s="29" t="s">
        <v>79</v>
      </c>
      <c r="C14" s="26" t="s">
        <v>142</v>
      </c>
      <c r="D14" s="26"/>
      <c r="E14" s="26" t="s">
        <v>143</v>
      </c>
      <c r="F14" s="29" t="s">
        <v>144</v>
      </c>
      <c r="G14" s="25" t="s">
        <v>100</v>
      </c>
      <c r="H14" s="142" t="s">
        <v>14</v>
      </c>
      <c r="I14" s="26"/>
      <c r="J14" s="30" t="s">
        <v>85</v>
      </c>
      <c r="K14" s="26" t="s">
        <v>86</v>
      </c>
      <c r="L14" s="26" t="s">
        <v>86</v>
      </c>
      <c r="M14" s="133" t="s">
        <v>86</v>
      </c>
      <c r="N14" s="136"/>
      <c r="O14" s="170" t="s">
        <v>145</v>
      </c>
      <c r="P14" s="170" t="s">
        <v>146</v>
      </c>
      <c r="Q14" s="136"/>
      <c r="R14" s="136"/>
      <c r="S14" s="136"/>
    </row>
    <row r="15" spans="1:19" ht="303.75">
      <c r="A15" s="25" t="s">
        <v>147</v>
      </c>
      <c r="B15" s="29" t="s">
        <v>79</v>
      </c>
      <c r="C15" s="26" t="s">
        <v>148</v>
      </c>
      <c r="D15" s="26"/>
      <c r="E15" s="26" t="s">
        <v>149</v>
      </c>
      <c r="F15" s="26" t="s">
        <v>150</v>
      </c>
      <c r="G15" s="25" t="s">
        <v>100</v>
      </c>
      <c r="H15" s="142" t="s">
        <v>14</v>
      </c>
      <c r="I15" s="29"/>
      <c r="J15" s="30" t="s">
        <v>85</v>
      </c>
      <c r="K15" s="26"/>
      <c r="L15" s="26"/>
      <c r="M15" s="133" t="s">
        <v>86</v>
      </c>
      <c r="N15" s="136"/>
      <c r="O15" s="170" t="s">
        <v>151</v>
      </c>
      <c r="P15" s="170" t="s">
        <v>152</v>
      </c>
      <c r="Q15" s="136"/>
      <c r="R15" s="136"/>
      <c r="S15" s="136"/>
    </row>
    <row r="16" spans="1:19" ht="409.6">
      <c r="A16" s="25" t="s">
        <v>153</v>
      </c>
      <c r="B16" s="29" t="s">
        <v>79</v>
      </c>
      <c r="C16" s="141" t="s">
        <v>154</v>
      </c>
      <c r="D16" s="141" t="s">
        <v>105</v>
      </c>
      <c r="E16" s="141" t="s">
        <v>155</v>
      </c>
      <c r="F16" s="141" t="s">
        <v>156</v>
      </c>
      <c r="G16" s="25" t="s">
        <v>100</v>
      </c>
      <c r="H16" s="142" t="s">
        <v>14</v>
      </c>
      <c r="I16" s="141"/>
      <c r="J16" s="30" t="s">
        <v>85</v>
      </c>
      <c r="K16" s="26"/>
      <c r="L16" s="26"/>
      <c r="M16" s="133" t="s">
        <v>157</v>
      </c>
      <c r="N16" s="136" t="s">
        <v>158</v>
      </c>
      <c r="O16" s="170" t="s">
        <v>159</v>
      </c>
      <c r="P16" s="170" t="s">
        <v>160</v>
      </c>
      <c r="Q16" s="136"/>
      <c r="R16" s="136"/>
      <c r="S16" s="136"/>
    </row>
    <row r="17" spans="1:16" s="108" customFormat="1" ht="358.5">
      <c r="A17" s="25" t="s">
        <v>161</v>
      </c>
      <c r="B17" s="29" t="s">
        <v>79</v>
      </c>
      <c r="C17" s="30" t="s">
        <v>162</v>
      </c>
      <c r="D17" s="30"/>
      <c r="E17" s="29" t="s">
        <v>163</v>
      </c>
      <c r="F17" s="30" t="s">
        <v>164</v>
      </c>
      <c r="G17" s="53" t="s">
        <v>100</v>
      </c>
      <c r="H17" s="142" t="s">
        <v>14</v>
      </c>
      <c r="I17" s="30"/>
      <c r="J17" s="30" t="s">
        <v>85</v>
      </c>
      <c r="K17" s="30" t="s">
        <v>86</v>
      </c>
      <c r="L17" s="30" t="s">
        <v>86</v>
      </c>
      <c r="M17" s="133" t="s">
        <v>157</v>
      </c>
      <c r="N17" s="151" t="s">
        <v>165</v>
      </c>
      <c r="O17" s="170" t="s">
        <v>166</v>
      </c>
      <c r="P17" s="170" t="s">
        <v>167</v>
      </c>
    </row>
    <row r="18" spans="1:16" ht="51" customHeight="1">
      <c r="A18" s="25" t="s">
        <v>168</v>
      </c>
      <c r="B18" s="29" t="s">
        <v>79</v>
      </c>
      <c r="C18" s="29" t="s">
        <v>169</v>
      </c>
      <c r="D18" s="26"/>
      <c r="E18" s="29" t="s">
        <v>170</v>
      </c>
      <c r="F18" s="29" t="s">
        <v>171</v>
      </c>
      <c r="G18" s="53" t="s">
        <v>100</v>
      </c>
      <c r="H18" s="142" t="s">
        <v>14</v>
      </c>
      <c r="I18" s="109"/>
      <c r="J18" s="95"/>
      <c r="K18" s="94"/>
      <c r="L18" s="94"/>
      <c r="M18" s="133" t="s">
        <v>86</v>
      </c>
      <c r="N18" s="136"/>
      <c r="O18" s="170" t="s">
        <v>172</v>
      </c>
      <c r="P18" s="170" t="s">
        <v>173</v>
      </c>
    </row>
    <row r="19" spans="1:16" ht="303.75">
      <c r="A19" s="25" t="s">
        <v>174</v>
      </c>
      <c r="B19" s="29" t="s">
        <v>175</v>
      </c>
      <c r="C19" s="29" t="s">
        <v>176</v>
      </c>
      <c r="D19" s="26"/>
      <c r="E19" s="29" t="s">
        <v>177</v>
      </c>
      <c r="F19" s="26" t="s">
        <v>178</v>
      </c>
      <c r="G19" s="25" t="s">
        <v>100</v>
      </c>
      <c r="H19" s="142" t="s">
        <v>14</v>
      </c>
      <c r="I19" s="110"/>
      <c r="J19" s="95" t="s">
        <v>85</v>
      </c>
      <c r="K19" s="94" t="s">
        <v>86</v>
      </c>
      <c r="L19" s="94" t="s">
        <v>86</v>
      </c>
      <c r="M19" s="133" t="s">
        <v>179</v>
      </c>
      <c r="N19" s="165" t="s">
        <v>180</v>
      </c>
      <c r="O19" s="170" t="s">
        <v>181</v>
      </c>
      <c r="P19" s="170" t="s">
        <v>182</v>
      </c>
    </row>
    <row r="20" spans="1:16" ht="234.75">
      <c r="A20" s="25" t="s">
        <v>183</v>
      </c>
      <c r="B20" s="29" t="s">
        <v>175</v>
      </c>
      <c r="C20" s="29" t="s">
        <v>184</v>
      </c>
      <c r="D20" s="26"/>
      <c r="E20" s="29" t="s">
        <v>185</v>
      </c>
      <c r="F20" s="26" t="s">
        <v>186</v>
      </c>
      <c r="G20" s="25" t="s">
        <v>100</v>
      </c>
      <c r="H20" s="142" t="s">
        <v>14</v>
      </c>
      <c r="I20" s="94"/>
      <c r="J20" s="95" t="s">
        <v>85</v>
      </c>
      <c r="K20" s="94"/>
      <c r="L20" s="94"/>
      <c r="M20" s="133" t="s">
        <v>86</v>
      </c>
      <c r="N20" s="136"/>
      <c r="O20" s="170" t="s">
        <v>187</v>
      </c>
      <c r="P20" s="170" t="s">
        <v>188</v>
      </c>
    </row>
    <row r="21" spans="1:16" ht="359.25">
      <c r="A21" s="25" t="s">
        <v>189</v>
      </c>
      <c r="B21" s="29" t="s">
        <v>175</v>
      </c>
      <c r="C21" s="29" t="s">
        <v>190</v>
      </c>
      <c r="D21" s="26"/>
      <c r="E21" s="26" t="s">
        <v>191</v>
      </c>
      <c r="F21" s="26" t="s">
        <v>192</v>
      </c>
      <c r="G21" s="25" t="s">
        <v>100</v>
      </c>
      <c r="H21" s="142" t="s">
        <v>14</v>
      </c>
      <c r="I21" s="26"/>
      <c r="J21" s="30" t="s">
        <v>85</v>
      </c>
      <c r="K21" s="26"/>
      <c r="L21" s="26"/>
      <c r="M21" s="133" t="s">
        <v>86</v>
      </c>
      <c r="N21" s="136"/>
      <c r="O21" s="170" t="s">
        <v>193</v>
      </c>
      <c r="P21" s="170" t="s">
        <v>194</v>
      </c>
    </row>
    <row r="22" spans="1:16" ht="249">
      <c r="A22" s="25" t="s">
        <v>195</v>
      </c>
      <c r="B22" s="29" t="s">
        <v>175</v>
      </c>
      <c r="C22" s="29" t="s">
        <v>196</v>
      </c>
      <c r="D22" s="26" t="s">
        <v>105</v>
      </c>
      <c r="E22" s="29" t="s">
        <v>197</v>
      </c>
      <c r="F22" s="29" t="s">
        <v>198</v>
      </c>
      <c r="G22" s="25" t="s">
        <v>100</v>
      </c>
      <c r="H22" s="142" t="s">
        <v>14</v>
      </c>
      <c r="I22" s="141"/>
      <c r="J22" s="30" t="s">
        <v>85</v>
      </c>
      <c r="K22" s="26"/>
      <c r="L22" s="26"/>
      <c r="M22" s="133" t="s">
        <v>86</v>
      </c>
      <c r="N22" s="136"/>
      <c r="O22" s="170" t="s">
        <v>199</v>
      </c>
      <c r="P22" s="170" t="s">
        <v>200</v>
      </c>
    </row>
    <row r="23" spans="1:16" ht="249">
      <c r="A23" s="25" t="s">
        <v>201</v>
      </c>
      <c r="B23" s="29" t="s">
        <v>175</v>
      </c>
      <c r="C23" s="29" t="s">
        <v>202</v>
      </c>
      <c r="D23" s="26" t="s">
        <v>105</v>
      </c>
      <c r="E23" s="29" t="s">
        <v>203</v>
      </c>
      <c r="F23" s="29" t="s">
        <v>204</v>
      </c>
      <c r="G23" s="25" t="s">
        <v>100</v>
      </c>
      <c r="H23" s="142" t="s">
        <v>14</v>
      </c>
      <c r="I23" s="141"/>
      <c r="J23" s="30" t="s">
        <v>85</v>
      </c>
      <c r="K23" s="26"/>
      <c r="L23" s="26"/>
      <c r="M23" s="133" t="s">
        <v>86</v>
      </c>
      <c r="N23" s="136"/>
      <c r="O23" s="170" t="s">
        <v>205</v>
      </c>
      <c r="P23" s="170" t="s">
        <v>206</v>
      </c>
    </row>
    <row r="24" spans="1:16" ht="345">
      <c r="A24" s="25" t="s">
        <v>207</v>
      </c>
      <c r="B24" s="29" t="s">
        <v>175</v>
      </c>
      <c r="C24" s="29" t="s">
        <v>208</v>
      </c>
      <c r="D24" s="26" t="s">
        <v>105</v>
      </c>
      <c r="E24" s="26" t="s">
        <v>209</v>
      </c>
      <c r="F24" s="26" t="s">
        <v>210</v>
      </c>
      <c r="G24" s="25" t="s">
        <v>100</v>
      </c>
      <c r="H24" s="142" t="s">
        <v>14</v>
      </c>
      <c r="I24" s="26"/>
      <c r="J24" s="30" t="s">
        <v>85</v>
      </c>
      <c r="K24" s="26" t="s">
        <v>86</v>
      </c>
      <c r="L24" s="26" t="s">
        <v>86</v>
      </c>
      <c r="M24" s="133" t="s">
        <v>86</v>
      </c>
      <c r="N24" s="136"/>
      <c r="O24" s="170" t="s">
        <v>211</v>
      </c>
      <c r="P24" s="170" t="s">
        <v>212</v>
      </c>
    </row>
    <row r="25" spans="1:16" ht="45" customHeight="1">
      <c r="A25" s="25" t="s">
        <v>213</v>
      </c>
      <c r="B25" s="29" t="s">
        <v>175</v>
      </c>
      <c r="C25" s="29" t="s">
        <v>214</v>
      </c>
      <c r="D25" s="26" t="s">
        <v>105</v>
      </c>
      <c r="E25" s="26" t="s">
        <v>215</v>
      </c>
      <c r="F25" s="29" t="s">
        <v>216</v>
      </c>
      <c r="G25" s="25" t="s">
        <v>100</v>
      </c>
      <c r="H25" s="142" t="s">
        <v>14</v>
      </c>
      <c r="I25" s="83"/>
      <c r="J25" s="30" t="s">
        <v>85</v>
      </c>
      <c r="K25" s="26"/>
      <c r="L25" s="26"/>
      <c r="M25" s="133" t="s">
        <v>86</v>
      </c>
      <c r="N25" s="136"/>
      <c r="O25" s="170" t="s">
        <v>217</v>
      </c>
      <c r="P25" s="170" t="s">
        <v>218</v>
      </c>
    </row>
    <row r="26" spans="1:16" ht="249">
      <c r="A26" s="25" t="s">
        <v>219</v>
      </c>
      <c r="B26" s="29" t="s">
        <v>175</v>
      </c>
      <c r="C26" s="29" t="s">
        <v>220</v>
      </c>
      <c r="D26" s="26" t="s">
        <v>105</v>
      </c>
      <c r="E26" s="29" t="s">
        <v>221</v>
      </c>
      <c r="F26" s="26" t="s">
        <v>222</v>
      </c>
      <c r="G26" s="25" t="s">
        <v>100</v>
      </c>
      <c r="H26" s="142" t="s">
        <v>14</v>
      </c>
      <c r="I26" s="26"/>
      <c r="J26" s="30" t="s">
        <v>85</v>
      </c>
      <c r="K26" s="26"/>
      <c r="L26" s="26"/>
      <c r="M26" s="133" t="s">
        <v>86</v>
      </c>
      <c r="N26" s="136"/>
      <c r="O26" s="170" t="s">
        <v>223</v>
      </c>
      <c r="P26" s="170" t="s">
        <v>224</v>
      </c>
    </row>
    <row r="27" spans="1:16" ht="234.75">
      <c r="A27" s="25" t="s">
        <v>225</v>
      </c>
      <c r="B27" s="29" t="s">
        <v>175</v>
      </c>
      <c r="C27" s="29" t="s">
        <v>226</v>
      </c>
      <c r="D27" s="26"/>
      <c r="E27" s="26" t="s">
        <v>227</v>
      </c>
      <c r="F27" s="26" t="s">
        <v>228</v>
      </c>
      <c r="G27" s="25" t="s">
        <v>100</v>
      </c>
      <c r="H27" s="142" t="s">
        <v>14</v>
      </c>
      <c r="I27" s="26"/>
      <c r="J27" s="30" t="s">
        <v>85</v>
      </c>
      <c r="K27" s="26"/>
      <c r="L27" s="26"/>
      <c r="M27" s="133" t="s">
        <v>86</v>
      </c>
      <c r="N27" s="136"/>
      <c r="O27" s="170" t="s">
        <v>229</v>
      </c>
      <c r="P27" s="170" t="s">
        <v>230</v>
      </c>
    </row>
    <row r="28" spans="1:16" ht="262.5">
      <c r="A28" s="25" t="s">
        <v>231</v>
      </c>
      <c r="B28" s="29" t="s">
        <v>175</v>
      </c>
      <c r="C28" s="29" t="s">
        <v>232</v>
      </c>
      <c r="D28" s="26"/>
      <c r="E28" s="26" t="s">
        <v>233</v>
      </c>
      <c r="F28" s="26" t="s">
        <v>234</v>
      </c>
      <c r="G28" s="25" t="s">
        <v>100</v>
      </c>
      <c r="H28" s="142" t="s">
        <v>14</v>
      </c>
      <c r="I28" s="29"/>
      <c r="J28" s="30" t="s">
        <v>85</v>
      </c>
      <c r="K28" s="26"/>
      <c r="L28" s="26"/>
      <c r="M28" s="133" t="s">
        <v>86</v>
      </c>
      <c r="N28" s="136"/>
      <c r="O28" s="170" t="s">
        <v>235</v>
      </c>
      <c r="P28" s="170" t="s">
        <v>236</v>
      </c>
    </row>
    <row r="29" spans="1:16" ht="276">
      <c r="A29" s="25" t="s">
        <v>237</v>
      </c>
      <c r="B29" s="29" t="s">
        <v>175</v>
      </c>
      <c r="C29" s="26" t="s">
        <v>238</v>
      </c>
      <c r="D29" s="26"/>
      <c r="E29" s="29" t="s">
        <v>239</v>
      </c>
      <c r="F29" s="26" t="s">
        <v>240</v>
      </c>
      <c r="G29" s="25" t="s">
        <v>100</v>
      </c>
      <c r="H29" s="142" t="s">
        <v>14</v>
      </c>
      <c r="I29" s="26"/>
      <c r="J29" s="30" t="s">
        <v>85</v>
      </c>
      <c r="K29" s="26"/>
      <c r="L29" s="26"/>
      <c r="M29" s="133" t="s">
        <v>86</v>
      </c>
      <c r="N29" s="136"/>
      <c r="O29" s="170" t="s">
        <v>241</v>
      </c>
      <c r="P29" s="170" t="s">
        <v>242</v>
      </c>
    </row>
    <row r="30" spans="1:16" ht="234.75">
      <c r="A30" s="25" t="s">
        <v>243</v>
      </c>
      <c r="B30" s="29" t="s">
        <v>175</v>
      </c>
      <c r="C30" s="26" t="s">
        <v>244</v>
      </c>
      <c r="D30" s="26"/>
      <c r="E30" s="26" t="s">
        <v>245</v>
      </c>
      <c r="F30" s="26" t="s">
        <v>246</v>
      </c>
      <c r="G30" s="25" t="s">
        <v>100</v>
      </c>
      <c r="H30" s="142" t="s">
        <v>14</v>
      </c>
      <c r="I30" s="26"/>
      <c r="J30" s="30" t="s">
        <v>85</v>
      </c>
      <c r="K30" s="26"/>
      <c r="L30" s="26"/>
      <c r="M30" s="133" t="s">
        <v>86</v>
      </c>
      <c r="N30" s="136"/>
      <c r="O30" s="170" t="s">
        <v>247</v>
      </c>
      <c r="P30" s="170" t="s">
        <v>248</v>
      </c>
    </row>
    <row r="31" spans="1:16" ht="234.75">
      <c r="A31" s="25" t="s">
        <v>249</v>
      </c>
      <c r="B31" s="29" t="s">
        <v>175</v>
      </c>
      <c r="C31" s="29" t="s">
        <v>250</v>
      </c>
      <c r="D31" s="26"/>
      <c r="E31" s="26" t="s">
        <v>251</v>
      </c>
      <c r="F31" s="26" t="s">
        <v>252</v>
      </c>
      <c r="G31" s="25" t="s">
        <v>100</v>
      </c>
      <c r="H31" s="142" t="s">
        <v>14</v>
      </c>
      <c r="I31" s="26"/>
      <c r="J31" s="30" t="s">
        <v>85</v>
      </c>
      <c r="K31" s="26"/>
      <c r="L31" s="26"/>
      <c r="M31" s="133" t="s">
        <v>86</v>
      </c>
      <c r="N31" s="136"/>
      <c r="O31" s="170" t="s">
        <v>253</v>
      </c>
      <c r="P31" s="170" t="s">
        <v>254</v>
      </c>
    </row>
    <row r="32" spans="1:16" ht="234.75">
      <c r="A32" s="25" t="s">
        <v>255</v>
      </c>
      <c r="B32" s="29" t="s">
        <v>175</v>
      </c>
      <c r="C32" s="29" t="s">
        <v>256</v>
      </c>
      <c r="D32" s="26"/>
      <c r="E32" s="26" t="s">
        <v>257</v>
      </c>
      <c r="F32" s="26" t="s">
        <v>258</v>
      </c>
      <c r="G32" s="25" t="s">
        <v>100</v>
      </c>
      <c r="H32" s="142" t="s">
        <v>14</v>
      </c>
      <c r="I32" s="94"/>
      <c r="J32" s="95" t="s">
        <v>85</v>
      </c>
      <c r="K32" s="94"/>
      <c r="L32" s="94"/>
      <c r="M32" s="133" t="s">
        <v>86</v>
      </c>
      <c r="N32" s="136"/>
      <c r="O32" s="170" t="s">
        <v>259</v>
      </c>
      <c r="P32" s="170" t="s">
        <v>260</v>
      </c>
    </row>
    <row r="33" spans="1:16" ht="249">
      <c r="A33" s="25" t="s">
        <v>261</v>
      </c>
      <c r="B33" s="29" t="s">
        <v>175</v>
      </c>
      <c r="C33" s="29" t="s">
        <v>262</v>
      </c>
      <c r="D33" s="26"/>
      <c r="E33" s="26" t="s">
        <v>263</v>
      </c>
      <c r="F33" s="26" t="s">
        <v>258</v>
      </c>
      <c r="G33" s="25" t="s">
        <v>100</v>
      </c>
      <c r="H33" s="142" t="s">
        <v>14</v>
      </c>
      <c r="I33" s="94"/>
      <c r="J33" s="95" t="s">
        <v>85</v>
      </c>
      <c r="K33" s="94"/>
      <c r="L33" s="94"/>
      <c r="M33" s="133" t="s">
        <v>86</v>
      </c>
      <c r="N33" s="136"/>
      <c r="O33" s="170" t="s">
        <v>264</v>
      </c>
      <c r="P33" s="170" t="s">
        <v>265</v>
      </c>
    </row>
    <row r="34" spans="1:16" ht="249">
      <c r="A34" s="25" t="s">
        <v>266</v>
      </c>
      <c r="B34" s="29" t="s">
        <v>175</v>
      </c>
      <c r="C34" s="29" t="s">
        <v>267</v>
      </c>
      <c r="D34" s="26"/>
      <c r="E34" s="26" t="s">
        <v>268</v>
      </c>
      <c r="F34" s="26" t="s">
        <v>258</v>
      </c>
      <c r="G34" s="25" t="s">
        <v>100</v>
      </c>
      <c r="H34" s="142" t="s">
        <v>14</v>
      </c>
      <c r="I34" s="94"/>
      <c r="J34" s="95" t="s">
        <v>85</v>
      </c>
      <c r="K34" s="94"/>
      <c r="L34" s="94"/>
      <c r="M34" s="133" t="s">
        <v>86</v>
      </c>
      <c r="N34" s="136"/>
      <c r="O34" s="170" t="s">
        <v>269</v>
      </c>
      <c r="P34" s="170" t="s">
        <v>270</v>
      </c>
    </row>
    <row r="35" spans="1:16" ht="234.75">
      <c r="A35" s="25" t="s">
        <v>271</v>
      </c>
      <c r="B35" s="29" t="s">
        <v>175</v>
      </c>
      <c r="C35" s="29" t="s">
        <v>272</v>
      </c>
      <c r="D35" s="26"/>
      <c r="E35" s="26" t="s">
        <v>273</v>
      </c>
      <c r="F35" s="26" t="s">
        <v>258</v>
      </c>
      <c r="G35" s="25" t="s">
        <v>100</v>
      </c>
      <c r="H35" s="142" t="s">
        <v>14</v>
      </c>
      <c r="I35" s="94"/>
      <c r="J35" s="95" t="s">
        <v>85</v>
      </c>
      <c r="K35" s="94"/>
      <c r="L35" s="94"/>
      <c r="M35" s="133" t="s">
        <v>86</v>
      </c>
      <c r="N35" s="136"/>
      <c r="O35" s="170" t="s">
        <v>274</v>
      </c>
      <c r="P35" s="170" t="s">
        <v>275</v>
      </c>
    </row>
    <row r="36" spans="1:16" ht="234.75">
      <c r="A36" s="25" t="s">
        <v>276</v>
      </c>
      <c r="B36" s="29" t="s">
        <v>175</v>
      </c>
      <c r="C36" s="29" t="s">
        <v>277</v>
      </c>
      <c r="D36" s="26"/>
      <c r="E36" s="26" t="s">
        <v>278</v>
      </c>
      <c r="F36" s="26" t="s">
        <v>258</v>
      </c>
      <c r="G36" s="25" t="s">
        <v>100</v>
      </c>
      <c r="H36" s="142" t="s">
        <v>14</v>
      </c>
      <c r="I36" s="94"/>
      <c r="J36" s="95" t="s">
        <v>85</v>
      </c>
      <c r="K36" s="94"/>
      <c r="L36" s="94"/>
      <c r="M36" s="133" t="s">
        <v>86</v>
      </c>
      <c r="N36" s="136"/>
      <c r="O36" s="170" t="s">
        <v>279</v>
      </c>
      <c r="P36" s="170" t="s">
        <v>280</v>
      </c>
    </row>
    <row r="37" spans="1:16" ht="234.75">
      <c r="A37" s="25" t="s">
        <v>281</v>
      </c>
      <c r="B37" s="29" t="s">
        <v>175</v>
      </c>
      <c r="C37" s="29" t="s">
        <v>282</v>
      </c>
      <c r="D37" s="26"/>
      <c r="E37" s="26" t="s">
        <v>283</v>
      </c>
      <c r="F37" s="26" t="s">
        <v>258</v>
      </c>
      <c r="G37" s="25" t="s">
        <v>100</v>
      </c>
      <c r="H37" s="142" t="s">
        <v>14</v>
      </c>
      <c r="I37" s="94"/>
      <c r="J37" s="95" t="s">
        <v>85</v>
      </c>
      <c r="K37" s="94"/>
      <c r="L37" s="94"/>
      <c r="M37" s="133" t="s">
        <v>86</v>
      </c>
      <c r="N37" s="136"/>
      <c r="O37" s="170" t="s">
        <v>284</v>
      </c>
      <c r="P37" s="170" t="s">
        <v>285</v>
      </c>
    </row>
    <row r="38" spans="1:16" ht="234.75">
      <c r="A38" s="25" t="s">
        <v>286</v>
      </c>
      <c r="B38" s="29" t="s">
        <v>175</v>
      </c>
      <c r="C38" s="29" t="s">
        <v>287</v>
      </c>
      <c r="D38" s="26"/>
      <c r="E38" s="26" t="s">
        <v>288</v>
      </c>
      <c r="F38" s="26" t="s">
        <v>258</v>
      </c>
      <c r="G38" s="25" t="s">
        <v>100</v>
      </c>
      <c r="H38" s="142" t="s">
        <v>14</v>
      </c>
      <c r="I38" s="94"/>
      <c r="J38" s="95" t="s">
        <v>85</v>
      </c>
      <c r="K38" s="94"/>
      <c r="L38" s="94"/>
      <c r="M38" s="133" t="s">
        <v>86</v>
      </c>
      <c r="N38" s="136"/>
      <c r="O38" s="170" t="s">
        <v>289</v>
      </c>
      <c r="P38" s="170" t="s">
        <v>290</v>
      </c>
    </row>
    <row r="39" spans="1:16" ht="262.5">
      <c r="A39" s="25" t="s">
        <v>291</v>
      </c>
      <c r="B39" s="29" t="s">
        <v>175</v>
      </c>
      <c r="C39" s="29" t="s">
        <v>292</v>
      </c>
      <c r="D39" s="26"/>
      <c r="E39" s="26" t="s">
        <v>293</v>
      </c>
      <c r="F39" s="26" t="s">
        <v>294</v>
      </c>
      <c r="G39" s="25" t="s">
        <v>100</v>
      </c>
      <c r="H39" s="142" t="s">
        <v>14</v>
      </c>
      <c r="I39" s="109"/>
      <c r="J39" s="95" t="s">
        <v>85</v>
      </c>
      <c r="K39" s="94"/>
      <c r="L39" s="94"/>
      <c r="M39" s="133" t="s">
        <v>86</v>
      </c>
      <c r="N39" s="136"/>
      <c r="O39" s="170" t="s">
        <v>295</v>
      </c>
      <c r="P39" s="170" t="s">
        <v>296</v>
      </c>
    </row>
    <row r="40" spans="1:16" ht="234.75">
      <c r="A40" s="25" t="s">
        <v>297</v>
      </c>
      <c r="B40" s="29" t="s">
        <v>175</v>
      </c>
      <c r="C40" s="29" t="s">
        <v>298</v>
      </c>
      <c r="D40" s="26"/>
      <c r="E40" s="29" t="s">
        <v>299</v>
      </c>
      <c r="F40" s="26" t="s">
        <v>258</v>
      </c>
      <c r="G40" s="25" t="s">
        <v>100</v>
      </c>
      <c r="H40" s="142" t="s">
        <v>14</v>
      </c>
      <c r="I40" s="109"/>
      <c r="J40" s="95"/>
      <c r="K40" s="94"/>
      <c r="L40" s="94"/>
      <c r="M40" s="133" t="s">
        <v>86</v>
      </c>
      <c r="N40" s="136"/>
      <c r="O40" s="170" t="s">
        <v>300</v>
      </c>
      <c r="P40" s="170" t="s">
        <v>301</v>
      </c>
    </row>
    <row r="41" spans="1:16" ht="234.75">
      <c r="A41" s="25" t="s">
        <v>302</v>
      </c>
      <c r="B41" s="29" t="s">
        <v>175</v>
      </c>
      <c r="C41" s="29" t="s">
        <v>303</v>
      </c>
      <c r="D41" s="26"/>
      <c r="E41" s="26" t="s">
        <v>304</v>
      </c>
      <c r="F41" s="26" t="s">
        <v>258</v>
      </c>
      <c r="G41" s="25" t="s">
        <v>100</v>
      </c>
      <c r="H41" s="142" t="s">
        <v>14</v>
      </c>
      <c r="I41" s="94"/>
      <c r="J41" s="95" t="s">
        <v>85</v>
      </c>
      <c r="K41" s="94" t="s">
        <v>86</v>
      </c>
      <c r="L41" s="94" t="s">
        <v>86</v>
      </c>
      <c r="M41" s="133" t="s">
        <v>86</v>
      </c>
      <c r="N41" s="136"/>
      <c r="O41" s="170" t="s">
        <v>305</v>
      </c>
      <c r="P41" s="170" t="s">
        <v>306</v>
      </c>
    </row>
    <row r="42" spans="1:16" ht="234.75">
      <c r="A42" s="25" t="s">
        <v>307</v>
      </c>
      <c r="B42" s="29" t="s">
        <v>175</v>
      </c>
      <c r="C42" s="29" t="s">
        <v>308</v>
      </c>
      <c r="D42" s="26"/>
      <c r="E42" s="29" t="s">
        <v>309</v>
      </c>
      <c r="F42" s="26" t="s">
        <v>258</v>
      </c>
      <c r="G42" s="25" t="s">
        <v>100</v>
      </c>
      <c r="H42" s="142" t="s">
        <v>14</v>
      </c>
      <c r="I42" s="94"/>
      <c r="J42" s="95" t="s">
        <v>85</v>
      </c>
      <c r="K42" s="94"/>
      <c r="L42" s="94"/>
      <c r="M42" s="133" t="s">
        <v>86</v>
      </c>
      <c r="N42" s="136"/>
      <c r="O42" s="170" t="s">
        <v>310</v>
      </c>
      <c r="P42" s="170" t="s">
        <v>311</v>
      </c>
    </row>
    <row r="43" spans="1:16" ht="234.75">
      <c r="A43" s="25" t="s">
        <v>312</v>
      </c>
      <c r="B43" s="29" t="s">
        <v>175</v>
      </c>
      <c r="C43" s="29" t="s">
        <v>313</v>
      </c>
      <c r="D43" s="26"/>
      <c r="E43" s="29" t="s">
        <v>314</v>
      </c>
      <c r="F43" s="26" t="s">
        <v>258</v>
      </c>
      <c r="G43" s="25" t="s">
        <v>100</v>
      </c>
      <c r="H43" s="142" t="s">
        <v>14</v>
      </c>
      <c r="I43" s="94"/>
      <c r="J43" s="95" t="s">
        <v>85</v>
      </c>
      <c r="K43" s="94"/>
      <c r="L43" s="94"/>
      <c r="M43" s="133" t="s">
        <v>86</v>
      </c>
      <c r="N43" s="136"/>
      <c r="O43" s="170" t="s">
        <v>315</v>
      </c>
      <c r="P43" s="170" t="s">
        <v>316</v>
      </c>
    </row>
    <row r="44" spans="1:16" ht="234.75">
      <c r="A44" s="25" t="s">
        <v>317</v>
      </c>
      <c r="B44" s="29" t="s">
        <v>175</v>
      </c>
      <c r="C44" s="29" t="s">
        <v>318</v>
      </c>
      <c r="D44" s="26"/>
      <c r="E44" s="29" t="s">
        <v>319</v>
      </c>
      <c r="F44" s="26" t="s">
        <v>258</v>
      </c>
      <c r="G44" s="25" t="s">
        <v>100</v>
      </c>
      <c r="H44" s="142" t="s">
        <v>14</v>
      </c>
      <c r="I44" s="94"/>
      <c r="J44" s="95" t="s">
        <v>85</v>
      </c>
      <c r="K44" s="94"/>
      <c r="L44" s="94"/>
      <c r="M44" s="133" t="s">
        <v>86</v>
      </c>
      <c r="N44" s="136"/>
      <c r="O44" s="170" t="s">
        <v>320</v>
      </c>
      <c r="P44" s="170" t="s">
        <v>321</v>
      </c>
    </row>
    <row r="45" spans="1:16" ht="234.75">
      <c r="A45" s="25" t="s">
        <v>322</v>
      </c>
      <c r="B45" s="29" t="s">
        <v>175</v>
      </c>
      <c r="C45" s="29" t="s">
        <v>323</v>
      </c>
      <c r="D45" s="26"/>
      <c r="E45" s="29" t="s">
        <v>324</v>
      </c>
      <c r="F45" s="26" t="s">
        <v>258</v>
      </c>
      <c r="G45" s="25" t="s">
        <v>100</v>
      </c>
      <c r="H45" s="142" t="s">
        <v>14</v>
      </c>
      <c r="I45" s="94"/>
      <c r="J45" s="95" t="s">
        <v>85</v>
      </c>
      <c r="K45" s="94"/>
      <c r="L45" s="94"/>
      <c r="M45" s="133" t="s">
        <v>86</v>
      </c>
      <c r="N45" s="136"/>
      <c r="O45" s="170" t="s">
        <v>325</v>
      </c>
      <c r="P45" s="170" t="s">
        <v>326</v>
      </c>
    </row>
    <row r="46" spans="1:16" ht="234.75">
      <c r="A46" s="25" t="s">
        <v>327</v>
      </c>
      <c r="B46" s="29" t="s">
        <v>175</v>
      </c>
      <c r="C46" s="29" t="s">
        <v>328</v>
      </c>
      <c r="D46" s="26"/>
      <c r="E46" s="29" t="s">
        <v>329</v>
      </c>
      <c r="F46" s="26" t="s">
        <v>258</v>
      </c>
      <c r="G46" s="25" t="s">
        <v>100</v>
      </c>
      <c r="H46" s="142" t="s">
        <v>14</v>
      </c>
      <c r="I46" s="94"/>
      <c r="J46" s="95" t="s">
        <v>85</v>
      </c>
      <c r="K46" s="94"/>
      <c r="L46" s="94"/>
      <c r="M46" s="133" t="s">
        <v>86</v>
      </c>
      <c r="N46" s="136"/>
      <c r="O46" s="170" t="s">
        <v>330</v>
      </c>
      <c r="P46" s="170" t="s">
        <v>331</v>
      </c>
    </row>
    <row r="47" spans="1:16" ht="234.75">
      <c r="A47" s="25" t="s">
        <v>332</v>
      </c>
      <c r="B47" s="29" t="s">
        <v>175</v>
      </c>
      <c r="C47" s="29" t="s">
        <v>333</v>
      </c>
      <c r="D47" s="26"/>
      <c r="E47" s="29" t="s">
        <v>334</v>
      </c>
      <c r="F47" s="26" t="s">
        <v>258</v>
      </c>
      <c r="G47" s="25" t="s">
        <v>100</v>
      </c>
      <c r="H47" s="142" t="s">
        <v>14</v>
      </c>
      <c r="I47" s="94"/>
      <c r="J47" s="95" t="s">
        <v>85</v>
      </c>
      <c r="K47" s="94" t="s">
        <v>86</v>
      </c>
      <c r="L47" s="94" t="s">
        <v>86</v>
      </c>
      <c r="M47" s="133" t="s">
        <v>86</v>
      </c>
      <c r="N47" s="136"/>
      <c r="O47" s="170" t="s">
        <v>335</v>
      </c>
      <c r="P47" s="170" t="s">
        <v>336</v>
      </c>
    </row>
    <row r="48" spans="1:16" ht="234.75">
      <c r="A48" s="25" t="s">
        <v>337</v>
      </c>
      <c r="B48" s="29" t="s">
        <v>175</v>
      </c>
      <c r="C48" s="29" t="s">
        <v>338</v>
      </c>
      <c r="D48" s="26"/>
      <c r="E48" s="29" t="s">
        <v>339</v>
      </c>
      <c r="F48" s="26" t="s">
        <v>258</v>
      </c>
      <c r="G48" s="25" t="s">
        <v>100</v>
      </c>
      <c r="H48" s="142" t="s">
        <v>14</v>
      </c>
      <c r="I48" s="94"/>
      <c r="J48" s="95" t="s">
        <v>85</v>
      </c>
      <c r="K48" s="94"/>
      <c r="L48" s="94"/>
      <c r="M48" s="133" t="s">
        <v>86</v>
      </c>
      <c r="N48" s="136"/>
      <c r="O48" s="170" t="s">
        <v>340</v>
      </c>
      <c r="P48" s="170" t="s">
        <v>341</v>
      </c>
    </row>
    <row r="49" spans="1:16" ht="234.75">
      <c r="A49" s="25" t="s">
        <v>342</v>
      </c>
      <c r="B49" s="29" t="s">
        <v>175</v>
      </c>
      <c r="C49" s="29" t="s">
        <v>343</v>
      </c>
      <c r="D49" s="26"/>
      <c r="E49" s="29" t="s">
        <v>344</v>
      </c>
      <c r="F49" s="26" t="s">
        <v>258</v>
      </c>
      <c r="G49" s="25" t="s">
        <v>100</v>
      </c>
      <c r="H49" s="142" t="s">
        <v>14</v>
      </c>
      <c r="I49" s="94"/>
      <c r="J49" s="95" t="s">
        <v>85</v>
      </c>
      <c r="K49" s="94"/>
      <c r="L49" s="94"/>
      <c r="M49" s="133" t="s">
        <v>86</v>
      </c>
      <c r="N49" s="136"/>
      <c r="O49" s="170" t="s">
        <v>345</v>
      </c>
      <c r="P49" s="170" t="s">
        <v>346</v>
      </c>
    </row>
    <row r="50" spans="1:16" ht="234.75">
      <c r="A50" s="25" t="s">
        <v>347</v>
      </c>
      <c r="B50" s="29" t="s">
        <v>175</v>
      </c>
      <c r="C50" s="29" t="s">
        <v>348</v>
      </c>
      <c r="D50" s="26"/>
      <c r="E50" s="29" t="s">
        <v>349</v>
      </c>
      <c r="F50" s="26" t="s">
        <v>258</v>
      </c>
      <c r="G50" s="25" t="s">
        <v>100</v>
      </c>
      <c r="H50" s="142" t="s">
        <v>14</v>
      </c>
      <c r="I50" s="94"/>
      <c r="J50" s="95" t="s">
        <v>85</v>
      </c>
      <c r="K50" s="94"/>
      <c r="L50" s="94"/>
      <c r="M50" s="133" t="s">
        <v>86</v>
      </c>
      <c r="N50" s="136"/>
      <c r="O50" s="170" t="s">
        <v>350</v>
      </c>
      <c r="P50" s="170" t="s">
        <v>351</v>
      </c>
    </row>
    <row r="51" spans="1:16" ht="234.75">
      <c r="A51" s="25" t="s">
        <v>352</v>
      </c>
      <c r="B51" s="29" t="s">
        <v>175</v>
      </c>
      <c r="C51" s="29" t="s">
        <v>353</v>
      </c>
      <c r="D51" s="26"/>
      <c r="E51" s="29" t="s">
        <v>354</v>
      </c>
      <c r="F51" s="26" t="s">
        <v>258</v>
      </c>
      <c r="G51" s="25" t="s">
        <v>100</v>
      </c>
      <c r="H51" s="142" t="s">
        <v>14</v>
      </c>
      <c r="I51" s="94"/>
      <c r="J51" s="95" t="s">
        <v>85</v>
      </c>
      <c r="K51" s="94"/>
      <c r="L51" s="94"/>
      <c r="M51" s="133" t="s">
        <v>86</v>
      </c>
      <c r="N51" s="136"/>
      <c r="O51" s="170" t="s">
        <v>355</v>
      </c>
      <c r="P51" s="170" t="s">
        <v>356</v>
      </c>
    </row>
    <row r="52" spans="1:16" ht="234.75">
      <c r="A52" s="25" t="s">
        <v>357</v>
      </c>
      <c r="B52" s="29" t="s">
        <v>175</v>
      </c>
      <c r="C52" s="29" t="s">
        <v>358</v>
      </c>
      <c r="D52" s="26"/>
      <c r="E52" s="29" t="s">
        <v>359</v>
      </c>
      <c r="F52" s="26" t="s">
        <v>258</v>
      </c>
      <c r="G52" s="25" t="s">
        <v>100</v>
      </c>
      <c r="H52" s="142" t="s">
        <v>14</v>
      </c>
      <c r="I52" s="94"/>
      <c r="J52" s="95" t="s">
        <v>85</v>
      </c>
      <c r="K52" s="94" t="s">
        <v>86</v>
      </c>
      <c r="L52" s="94" t="s">
        <v>86</v>
      </c>
      <c r="M52" s="133" t="s">
        <v>86</v>
      </c>
      <c r="N52" s="136"/>
      <c r="O52" s="170" t="s">
        <v>360</v>
      </c>
      <c r="P52" s="170" t="s">
        <v>361</v>
      </c>
    </row>
    <row r="53" spans="1:16" ht="262.5">
      <c r="A53" s="25" t="s">
        <v>362</v>
      </c>
      <c r="B53" s="29" t="s">
        <v>175</v>
      </c>
      <c r="C53" s="29" t="s">
        <v>363</v>
      </c>
      <c r="D53" s="26"/>
      <c r="E53" s="29" t="s">
        <v>364</v>
      </c>
      <c r="F53" s="29" t="s">
        <v>365</v>
      </c>
      <c r="G53" s="25" t="s">
        <v>100</v>
      </c>
      <c r="H53" s="142" t="s">
        <v>14</v>
      </c>
      <c r="I53" s="94"/>
      <c r="J53" s="95" t="s">
        <v>85</v>
      </c>
      <c r="K53" s="94"/>
      <c r="L53" s="94"/>
      <c r="M53" s="133" t="s">
        <v>86</v>
      </c>
      <c r="N53" s="136"/>
      <c r="O53" s="170" t="s">
        <v>366</v>
      </c>
      <c r="P53" s="170" t="s">
        <v>367</v>
      </c>
    </row>
    <row r="54" spans="1:16" ht="262.5">
      <c r="A54" s="25" t="s">
        <v>368</v>
      </c>
      <c r="B54" s="29" t="s">
        <v>175</v>
      </c>
      <c r="C54" s="29" t="s">
        <v>369</v>
      </c>
      <c r="D54" s="26"/>
      <c r="E54" s="29" t="s">
        <v>370</v>
      </c>
      <c r="F54" s="29" t="s">
        <v>365</v>
      </c>
      <c r="G54" s="25" t="s">
        <v>100</v>
      </c>
      <c r="H54" s="142" t="s">
        <v>14</v>
      </c>
      <c r="I54" s="94"/>
      <c r="J54" s="95" t="s">
        <v>85</v>
      </c>
      <c r="K54" s="94"/>
      <c r="L54" s="94"/>
      <c r="M54" s="133" t="s">
        <v>86</v>
      </c>
      <c r="N54" s="136"/>
      <c r="O54" s="170" t="s">
        <v>371</v>
      </c>
      <c r="P54" s="170" t="s">
        <v>372</v>
      </c>
    </row>
    <row r="55" spans="1:16" s="108" customFormat="1" ht="234.75">
      <c r="A55" s="25" t="s">
        <v>373</v>
      </c>
      <c r="B55" s="29" t="s">
        <v>175</v>
      </c>
      <c r="C55" s="29" t="s">
        <v>374</v>
      </c>
      <c r="D55" s="30"/>
      <c r="E55" s="29" t="s">
        <v>375</v>
      </c>
      <c r="F55" s="30" t="s">
        <v>258</v>
      </c>
      <c r="G55" s="53" t="s">
        <v>100</v>
      </c>
      <c r="H55" s="142" t="s">
        <v>14</v>
      </c>
      <c r="I55" s="95"/>
      <c r="J55" s="95" t="s">
        <v>85</v>
      </c>
      <c r="K55" s="95" t="s">
        <v>86</v>
      </c>
      <c r="L55" s="95" t="s">
        <v>86</v>
      </c>
      <c r="M55" s="133" t="s">
        <v>86</v>
      </c>
      <c r="N55" s="151"/>
      <c r="O55" s="170" t="s">
        <v>376</v>
      </c>
      <c r="P55" s="170" t="s">
        <v>377</v>
      </c>
    </row>
    <row r="56" spans="1:16" s="108" customFormat="1" ht="234.75">
      <c r="A56" s="25" t="s">
        <v>378</v>
      </c>
      <c r="B56" s="29" t="s">
        <v>175</v>
      </c>
      <c r="C56" s="29" t="s">
        <v>379</v>
      </c>
      <c r="D56" s="30"/>
      <c r="E56" s="29" t="s">
        <v>380</v>
      </c>
      <c r="F56" s="30" t="s">
        <v>258</v>
      </c>
      <c r="G56" s="53" t="s">
        <v>100</v>
      </c>
      <c r="H56" s="142" t="s">
        <v>14</v>
      </c>
      <c r="I56" s="95"/>
      <c r="J56" s="95" t="s">
        <v>85</v>
      </c>
      <c r="K56" s="95"/>
      <c r="L56" s="95"/>
      <c r="M56" s="133" t="s">
        <v>86</v>
      </c>
      <c r="N56" s="151"/>
      <c r="O56" s="170" t="s">
        <v>381</v>
      </c>
      <c r="P56" s="170" t="s">
        <v>382</v>
      </c>
    </row>
    <row r="57" spans="1:16" s="108" customFormat="1" ht="234.75">
      <c r="A57" s="25" t="s">
        <v>383</v>
      </c>
      <c r="B57" s="29" t="s">
        <v>175</v>
      </c>
      <c r="C57" s="29" t="s">
        <v>384</v>
      </c>
      <c r="D57" s="30"/>
      <c r="E57" s="29" t="s">
        <v>385</v>
      </c>
      <c r="F57" s="30" t="s">
        <v>258</v>
      </c>
      <c r="G57" s="53" t="s">
        <v>100</v>
      </c>
      <c r="H57" s="142" t="s">
        <v>14</v>
      </c>
      <c r="I57" s="95"/>
      <c r="J57" s="95" t="s">
        <v>85</v>
      </c>
      <c r="K57" s="95"/>
      <c r="L57" s="95"/>
      <c r="M57" s="133" t="s">
        <v>86</v>
      </c>
      <c r="N57" s="151"/>
      <c r="O57" s="170" t="s">
        <v>386</v>
      </c>
      <c r="P57" s="170" t="s">
        <v>387</v>
      </c>
    </row>
    <row r="58" spans="1:16" s="108" customFormat="1" ht="234.75">
      <c r="A58" s="25" t="s">
        <v>388</v>
      </c>
      <c r="B58" s="29" t="s">
        <v>175</v>
      </c>
      <c r="C58" s="29" t="s">
        <v>389</v>
      </c>
      <c r="D58" s="30"/>
      <c r="E58" s="29" t="s">
        <v>390</v>
      </c>
      <c r="F58" s="30" t="s">
        <v>258</v>
      </c>
      <c r="G58" s="53" t="s">
        <v>100</v>
      </c>
      <c r="H58" s="142" t="s">
        <v>14</v>
      </c>
      <c r="I58" s="95"/>
      <c r="J58" s="95" t="s">
        <v>85</v>
      </c>
      <c r="K58" s="95"/>
      <c r="L58" s="95"/>
      <c r="M58" s="133" t="s">
        <v>86</v>
      </c>
      <c r="N58" s="151"/>
      <c r="O58" s="170" t="s">
        <v>391</v>
      </c>
      <c r="P58" s="170" t="s">
        <v>392</v>
      </c>
    </row>
    <row r="59" spans="1:16" s="108" customFormat="1" ht="234.75">
      <c r="A59" s="25" t="s">
        <v>393</v>
      </c>
      <c r="B59" s="29" t="s">
        <v>175</v>
      </c>
      <c r="C59" s="29" t="s">
        <v>394</v>
      </c>
      <c r="D59" s="30"/>
      <c r="E59" s="29" t="s">
        <v>395</v>
      </c>
      <c r="F59" s="30" t="s">
        <v>258</v>
      </c>
      <c r="G59" s="53" t="s">
        <v>100</v>
      </c>
      <c r="H59" s="142" t="s">
        <v>14</v>
      </c>
      <c r="I59" s="95"/>
      <c r="J59" s="95" t="s">
        <v>85</v>
      </c>
      <c r="K59" s="95"/>
      <c r="L59" s="95"/>
      <c r="M59" s="133" t="s">
        <v>86</v>
      </c>
      <c r="N59" s="151"/>
      <c r="O59" s="170" t="s">
        <v>396</v>
      </c>
      <c r="P59" s="170" t="s">
        <v>397</v>
      </c>
    </row>
    <row r="60" spans="1:16" s="108" customFormat="1" ht="234.75">
      <c r="A60" s="25" t="s">
        <v>398</v>
      </c>
      <c r="B60" s="29" t="s">
        <v>175</v>
      </c>
      <c r="C60" s="29" t="s">
        <v>399</v>
      </c>
      <c r="D60" s="30"/>
      <c r="E60" s="29" t="s">
        <v>400</v>
      </c>
      <c r="F60" s="30" t="s">
        <v>258</v>
      </c>
      <c r="G60" s="53" t="s">
        <v>100</v>
      </c>
      <c r="H60" s="142" t="s">
        <v>14</v>
      </c>
      <c r="I60" s="95"/>
      <c r="J60" s="95" t="s">
        <v>85</v>
      </c>
      <c r="K60" s="95"/>
      <c r="L60" s="95"/>
      <c r="M60" s="133" t="s">
        <v>86</v>
      </c>
      <c r="N60" s="151"/>
      <c r="O60" s="170" t="s">
        <v>401</v>
      </c>
      <c r="P60" s="170" t="s">
        <v>402</v>
      </c>
    </row>
    <row r="61" spans="1:16" s="108" customFormat="1" ht="234.75">
      <c r="A61" s="25" t="s">
        <v>403</v>
      </c>
      <c r="B61" s="29" t="s">
        <v>175</v>
      </c>
      <c r="C61" s="29" t="s">
        <v>404</v>
      </c>
      <c r="D61" s="30"/>
      <c r="E61" s="29" t="s">
        <v>405</v>
      </c>
      <c r="F61" s="30" t="s">
        <v>258</v>
      </c>
      <c r="G61" s="53" t="s">
        <v>100</v>
      </c>
      <c r="H61" s="142" t="s">
        <v>14</v>
      </c>
      <c r="I61" s="95"/>
      <c r="J61" s="95" t="s">
        <v>85</v>
      </c>
      <c r="K61" s="95"/>
      <c r="L61" s="95"/>
      <c r="M61" s="133" t="s">
        <v>86</v>
      </c>
      <c r="N61" s="151"/>
      <c r="O61" s="170" t="s">
        <v>406</v>
      </c>
      <c r="P61" s="170" t="s">
        <v>407</v>
      </c>
    </row>
    <row r="62" spans="1:16" s="108" customFormat="1" ht="234.75">
      <c r="A62" s="25" t="s">
        <v>408</v>
      </c>
      <c r="B62" s="29" t="s">
        <v>175</v>
      </c>
      <c r="C62" s="29" t="s">
        <v>409</v>
      </c>
      <c r="D62" s="30"/>
      <c r="E62" s="29" t="s">
        <v>410</v>
      </c>
      <c r="F62" s="30" t="s">
        <v>258</v>
      </c>
      <c r="G62" s="53" t="s">
        <v>100</v>
      </c>
      <c r="H62" s="142" t="s">
        <v>14</v>
      </c>
      <c r="I62" s="95"/>
      <c r="J62" s="95" t="s">
        <v>85</v>
      </c>
      <c r="K62" s="95" t="s">
        <v>86</v>
      </c>
      <c r="L62" s="95" t="s">
        <v>86</v>
      </c>
      <c r="M62" s="133" t="s">
        <v>86</v>
      </c>
      <c r="N62" s="151"/>
      <c r="O62" s="170" t="s">
        <v>411</v>
      </c>
      <c r="P62" s="170" t="s">
        <v>412</v>
      </c>
    </row>
    <row r="63" spans="1:16" s="108" customFormat="1" ht="234.75">
      <c r="A63" s="25" t="s">
        <v>413</v>
      </c>
      <c r="B63" s="29" t="s">
        <v>175</v>
      </c>
      <c r="C63" s="29" t="s">
        <v>414</v>
      </c>
      <c r="D63" s="30"/>
      <c r="E63" s="29" t="s">
        <v>415</v>
      </c>
      <c r="F63" s="30" t="s">
        <v>258</v>
      </c>
      <c r="G63" s="53" t="s">
        <v>100</v>
      </c>
      <c r="H63" s="142" t="s">
        <v>14</v>
      </c>
      <c r="I63" s="95"/>
      <c r="J63" s="95" t="s">
        <v>85</v>
      </c>
      <c r="K63" s="95"/>
      <c r="L63" s="95"/>
      <c r="M63" s="133" t="s">
        <v>86</v>
      </c>
      <c r="N63" s="151"/>
      <c r="O63" s="170" t="s">
        <v>416</v>
      </c>
      <c r="P63" s="170" t="s">
        <v>417</v>
      </c>
    </row>
    <row r="64" spans="1:16" s="108" customFormat="1" ht="234.75">
      <c r="A64" s="25" t="s">
        <v>418</v>
      </c>
      <c r="B64" s="29" t="s">
        <v>175</v>
      </c>
      <c r="C64" s="29" t="s">
        <v>419</v>
      </c>
      <c r="D64" s="30"/>
      <c r="E64" s="29" t="s">
        <v>420</v>
      </c>
      <c r="F64" s="30" t="s">
        <v>258</v>
      </c>
      <c r="G64" s="53" t="s">
        <v>100</v>
      </c>
      <c r="H64" s="142" t="s">
        <v>14</v>
      </c>
      <c r="I64" s="95"/>
      <c r="J64" s="95" t="s">
        <v>85</v>
      </c>
      <c r="K64" s="95"/>
      <c r="L64" s="95"/>
      <c r="M64" s="133" t="s">
        <v>86</v>
      </c>
      <c r="N64" s="167"/>
      <c r="O64" s="170" t="s">
        <v>421</v>
      </c>
      <c r="P64" s="170" t="s">
        <v>422</v>
      </c>
    </row>
    <row r="65" spans="1:16" s="108" customFormat="1" ht="234.75">
      <c r="A65" s="25" t="s">
        <v>423</v>
      </c>
      <c r="B65" s="29" t="s">
        <v>175</v>
      </c>
      <c r="C65" s="29" t="s">
        <v>424</v>
      </c>
      <c r="D65" s="30"/>
      <c r="E65" s="29" t="s">
        <v>425</v>
      </c>
      <c r="F65" s="30" t="s">
        <v>258</v>
      </c>
      <c r="G65" s="53" t="s">
        <v>100</v>
      </c>
      <c r="H65" s="142" t="s">
        <v>14</v>
      </c>
      <c r="I65" s="95"/>
      <c r="J65" s="95" t="s">
        <v>85</v>
      </c>
      <c r="K65" s="95"/>
      <c r="L65" s="95"/>
      <c r="M65" s="133" t="s">
        <v>86</v>
      </c>
      <c r="N65" s="151"/>
      <c r="O65" s="170" t="s">
        <v>426</v>
      </c>
      <c r="P65" s="170" t="s">
        <v>427</v>
      </c>
    </row>
    <row r="66" spans="1:16" s="108" customFormat="1" ht="234.75">
      <c r="A66" s="25" t="s">
        <v>428</v>
      </c>
      <c r="B66" s="29" t="s">
        <v>175</v>
      </c>
      <c r="C66" s="29" t="s">
        <v>429</v>
      </c>
      <c r="D66" s="30"/>
      <c r="E66" s="29" t="s">
        <v>430</v>
      </c>
      <c r="F66" s="30" t="s">
        <v>258</v>
      </c>
      <c r="G66" s="53" t="s">
        <v>100</v>
      </c>
      <c r="H66" s="142" t="s">
        <v>14</v>
      </c>
      <c r="I66" s="95"/>
      <c r="J66" s="95" t="s">
        <v>85</v>
      </c>
      <c r="K66" s="95" t="s">
        <v>86</v>
      </c>
      <c r="L66" s="95" t="s">
        <v>86</v>
      </c>
      <c r="M66" s="133" t="s">
        <v>86</v>
      </c>
      <c r="N66" s="151"/>
      <c r="O66" s="170" t="s">
        <v>431</v>
      </c>
      <c r="P66" s="170" t="s">
        <v>432</v>
      </c>
    </row>
    <row r="67" spans="1:16" s="108" customFormat="1" ht="234.75">
      <c r="A67" s="25" t="s">
        <v>433</v>
      </c>
      <c r="B67" s="29" t="s">
        <v>175</v>
      </c>
      <c r="C67" s="29" t="s">
        <v>434</v>
      </c>
      <c r="D67" s="30"/>
      <c r="E67" s="29" t="s">
        <v>435</v>
      </c>
      <c r="F67" s="30" t="s">
        <v>258</v>
      </c>
      <c r="G67" s="53" t="s">
        <v>100</v>
      </c>
      <c r="H67" s="142" t="s">
        <v>14</v>
      </c>
      <c r="I67" s="95"/>
      <c r="J67" s="95" t="s">
        <v>85</v>
      </c>
      <c r="K67" s="95"/>
      <c r="L67" s="95"/>
      <c r="M67" s="133" t="s">
        <v>86</v>
      </c>
      <c r="N67" s="151"/>
      <c r="O67" s="170" t="s">
        <v>436</v>
      </c>
      <c r="P67" s="170" t="s">
        <v>437</v>
      </c>
    </row>
    <row r="68" spans="1:16" s="108" customFormat="1" ht="234.75">
      <c r="A68" s="25" t="s">
        <v>438</v>
      </c>
      <c r="B68" s="29" t="s">
        <v>175</v>
      </c>
      <c r="C68" s="29" t="s">
        <v>439</v>
      </c>
      <c r="D68" s="30"/>
      <c r="E68" s="30" t="s">
        <v>440</v>
      </c>
      <c r="F68" s="30" t="s">
        <v>441</v>
      </c>
      <c r="G68" s="53" t="s">
        <v>100</v>
      </c>
      <c r="H68" s="142" t="s">
        <v>14</v>
      </c>
      <c r="I68" s="95"/>
      <c r="J68" s="95" t="s">
        <v>85</v>
      </c>
      <c r="K68" s="95"/>
      <c r="L68" s="95"/>
      <c r="M68" s="133" t="s">
        <v>86</v>
      </c>
      <c r="N68" s="151"/>
      <c r="O68" s="170" t="s">
        <v>442</v>
      </c>
      <c r="P68" s="170" t="s">
        <v>443</v>
      </c>
    </row>
    <row r="69" spans="1:16" ht="234.75">
      <c r="A69" s="25" t="s">
        <v>444</v>
      </c>
      <c r="B69" s="29" t="s">
        <v>175</v>
      </c>
      <c r="C69" s="26" t="s">
        <v>445</v>
      </c>
      <c r="D69" s="26"/>
      <c r="E69" s="26" t="s">
        <v>446</v>
      </c>
      <c r="F69" s="26" t="s">
        <v>258</v>
      </c>
      <c r="G69" s="25" t="s">
        <v>100</v>
      </c>
      <c r="H69" s="142" t="s">
        <v>14</v>
      </c>
      <c r="I69" s="143"/>
      <c r="J69" s="95" t="s">
        <v>85</v>
      </c>
      <c r="K69" s="26"/>
      <c r="L69" s="26"/>
      <c r="M69" s="133" t="s">
        <v>179</v>
      </c>
      <c r="N69" s="136" t="s">
        <v>447</v>
      </c>
      <c r="O69" s="170" t="s">
        <v>448</v>
      </c>
      <c r="P69" s="170" t="s">
        <v>449</v>
      </c>
    </row>
    <row r="70" spans="1:16" ht="234.75">
      <c r="A70" s="25" t="s">
        <v>450</v>
      </c>
      <c r="B70" s="29" t="s">
        <v>175</v>
      </c>
      <c r="C70" s="26" t="s">
        <v>445</v>
      </c>
      <c r="D70" s="26"/>
      <c r="E70" s="26" t="s">
        <v>451</v>
      </c>
      <c r="F70" s="26" t="s">
        <v>258</v>
      </c>
      <c r="G70" s="25" t="s">
        <v>100</v>
      </c>
      <c r="H70" s="142" t="s">
        <v>14</v>
      </c>
      <c r="I70" s="143"/>
      <c r="J70" s="95" t="s">
        <v>85</v>
      </c>
      <c r="K70" s="26"/>
      <c r="L70" s="26"/>
      <c r="M70" s="133" t="s">
        <v>179</v>
      </c>
      <c r="N70" s="136" t="s">
        <v>447</v>
      </c>
      <c r="O70" s="170" t="s">
        <v>452</v>
      </c>
      <c r="P70" s="170" t="s">
        <v>453</v>
      </c>
    </row>
    <row r="71" spans="1:16" ht="234.75">
      <c r="A71" s="25" t="s">
        <v>454</v>
      </c>
      <c r="B71" s="29" t="s">
        <v>175</v>
      </c>
      <c r="C71" s="26" t="s">
        <v>445</v>
      </c>
      <c r="D71" s="26"/>
      <c r="E71" s="26" t="s">
        <v>455</v>
      </c>
      <c r="F71" s="26" t="s">
        <v>258</v>
      </c>
      <c r="G71" s="25" t="s">
        <v>100</v>
      </c>
      <c r="H71" s="142" t="s">
        <v>14</v>
      </c>
      <c r="I71" s="143"/>
      <c r="J71" s="95" t="s">
        <v>85</v>
      </c>
      <c r="K71" s="26"/>
      <c r="L71" s="26"/>
      <c r="M71" s="133" t="s">
        <v>179</v>
      </c>
      <c r="N71" s="136" t="s">
        <v>447</v>
      </c>
      <c r="O71" s="170" t="s">
        <v>456</v>
      </c>
      <c r="P71" s="170" t="s">
        <v>457</v>
      </c>
    </row>
    <row r="72" spans="1:16" ht="249">
      <c r="A72" s="25" t="s">
        <v>458</v>
      </c>
      <c r="B72" s="29" t="s">
        <v>175</v>
      </c>
      <c r="C72" s="26" t="s">
        <v>459</v>
      </c>
      <c r="D72" s="26" t="s">
        <v>460</v>
      </c>
      <c r="E72" s="29" t="s">
        <v>461</v>
      </c>
      <c r="F72" s="26" t="s">
        <v>258</v>
      </c>
      <c r="G72" s="25" t="s">
        <v>100</v>
      </c>
      <c r="H72" s="142" t="s">
        <v>14</v>
      </c>
      <c r="I72" s="94"/>
      <c r="J72" s="95" t="s">
        <v>85</v>
      </c>
      <c r="K72" s="94" t="s">
        <v>86</v>
      </c>
      <c r="L72" s="94" t="s">
        <v>86</v>
      </c>
      <c r="M72" s="133" t="s">
        <v>86</v>
      </c>
      <c r="N72" s="136"/>
      <c r="O72" s="170" t="s">
        <v>462</v>
      </c>
      <c r="P72" s="170" t="s">
        <v>463</v>
      </c>
    </row>
    <row r="73" spans="1:16" ht="249">
      <c r="A73" s="25" t="s">
        <v>464</v>
      </c>
      <c r="B73" s="29" t="s">
        <v>175</v>
      </c>
      <c r="C73" s="26" t="s">
        <v>459</v>
      </c>
      <c r="D73" s="26" t="s">
        <v>460</v>
      </c>
      <c r="E73" s="29" t="s">
        <v>465</v>
      </c>
      <c r="F73" s="26" t="s">
        <v>258</v>
      </c>
      <c r="G73" s="25" t="s">
        <v>100</v>
      </c>
      <c r="H73" s="142" t="s">
        <v>14</v>
      </c>
      <c r="I73" s="94"/>
      <c r="J73" s="95" t="s">
        <v>85</v>
      </c>
      <c r="K73" s="94"/>
      <c r="L73" s="94"/>
      <c r="M73" s="133" t="s">
        <v>86</v>
      </c>
      <c r="N73" s="136"/>
      <c r="O73" s="170" t="s">
        <v>466</v>
      </c>
      <c r="P73" s="170" t="s">
        <v>467</v>
      </c>
    </row>
    <row r="74" spans="1:16" ht="249">
      <c r="A74" s="25" t="s">
        <v>468</v>
      </c>
      <c r="B74" s="29" t="s">
        <v>175</v>
      </c>
      <c r="C74" s="26" t="s">
        <v>459</v>
      </c>
      <c r="D74" s="26" t="s">
        <v>460</v>
      </c>
      <c r="E74" s="29" t="s">
        <v>469</v>
      </c>
      <c r="F74" s="26" t="s">
        <v>258</v>
      </c>
      <c r="G74" s="25" t="s">
        <v>100</v>
      </c>
      <c r="H74" s="142" t="s">
        <v>14</v>
      </c>
      <c r="I74" s="94"/>
      <c r="J74" s="95" t="s">
        <v>85</v>
      </c>
      <c r="K74" s="94" t="s">
        <v>86</v>
      </c>
      <c r="L74" s="94" t="s">
        <v>86</v>
      </c>
      <c r="M74" s="133" t="s">
        <v>86</v>
      </c>
      <c r="N74" s="136"/>
      <c r="O74" s="170" t="s">
        <v>470</v>
      </c>
      <c r="P74" s="170" t="s">
        <v>471</v>
      </c>
    </row>
    <row r="75" spans="1:16" ht="249">
      <c r="A75" s="25" t="s">
        <v>472</v>
      </c>
      <c r="B75" s="29" t="s">
        <v>175</v>
      </c>
      <c r="C75" s="26" t="s">
        <v>459</v>
      </c>
      <c r="D75" s="26" t="s">
        <v>460</v>
      </c>
      <c r="E75" s="29" t="s">
        <v>473</v>
      </c>
      <c r="F75" s="26" t="s">
        <v>258</v>
      </c>
      <c r="G75" s="25" t="s">
        <v>100</v>
      </c>
      <c r="H75" s="142" t="s">
        <v>14</v>
      </c>
      <c r="I75" s="94"/>
      <c r="J75" s="95" t="s">
        <v>85</v>
      </c>
      <c r="K75" s="94" t="s">
        <v>86</v>
      </c>
      <c r="L75" s="94" t="s">
        <v>86</v>
      </c>
      <c r="M75" s="133" t="s">
        <v>86</v>
      </c>
      <c r="N75" s="136"/>
      <c r="O75" s="170" t="s">
        <v>474</v>
      </c>
      <c r="P75" s="170" t="s">
        <v>475</v>
      </c>
    </row>
    <row r="76" spans="1:16" ht="249">
      <c r="A76" s="25" t="s">
        <v>476</v>
      </c>
      <c r="B76" s="29" t="s">
        <v>175</v>
      </c>
      <c r="C76" s="26" t="s">
        <v>459</v>
      </c>
      <c r="D76" s="26" t="s">
        <v>460</v>
      </c>
      <c r="E76" s="29" t="s">
        <v>477</v>
      </c>
      <c r="F76" s="26" t="s">
        <v>258</v>
      </c>
      <c r="G76" s="25" t="s">
        <v>100</v>
      </c>
      <c r="H76" s="142" t="s">
        <v>14</v>
      </c>
      <c r="I76" s="94"/>
      <c r="J76" s="95" t="s">
        <v>85</v>
      </c>
      <c r="K76" s="94"/>
      <c r="L76" s="94"/>
      <c r="M76" s="133" t="s">
        <v>86</v>
      </c>
      <c r="N76" s="136"/>
      <c r="O76" s="170" t="s">
        <v>478</v>
      </c>
      <c r="P76" s="170" t="s">
        <v>479</v>
      </c>
    </row>
    <row r="77" spans="1:16" ht="262.5">
      <c r="A77" s="25" t="s">
        <v>480</v>
      </c>
      <c r="B77" s="29" t="s">
        <v>175</v>
      </c>
      <c r="C77" s="26" t="s">
        <v>459</v>
      </c>
      <c r="D77" s="26" t="s">
        <v>460</v>
      </c>
      <c r="E77" s="29" t="s">
        <v>481</v>
      </c>
      <c r="F77" s="26" t="s">
        <v>258</v>
      </c>
      <c r="G77" s="25" t="s">
        <v>100</v>
      </c>
      <c r="H77" s="142" t="s">
        <v>14</v>
      </c>
      <c r="I77" s="94"/>
      <c r="J77" s="95" t="s">
        <v>85</v>
      </c>
      <c r="K77" s="94"/>
      <c r="L77" s="94"/>
      <c r="M77" s="133" t="s">
        <v>86</v>
      </c>
      <c r="N77" s="136"/>
      <c r="O77" s="170" t="s">
        <v>482</v>
      </c>
      <c r="P77" s="170" t="s">
        <v>483</v>
      </c>
    </row>
    <row r="78" spans="1:16" ht="276.75">
      <c r="A78" s="25" t="s">
        <v>484</v>
      </c>
      <c r="B78" s="29" t="s">
        <v>175</v>
      </c>
      <c r="C78" s="30" t="s">
        <v>459</v>
      </c>
      <c r="D78" s="30"/>
      <c r="E78" s="30" t="s">
        <v>485</v>
      </c>
      <c r="F78" s="29" t="s">
        <v>486</v>
      </c>
      <c r="G78" s="53" t="s">
        <v>100</v>
      </c>
      <c r="H78" s="142" t="s">
        <v>14</v>
      </c>
      <c r="I78" s="109"/>
      <c r="J78" s="95" t="s">
        <v>85</v>
      </c>
      <c r="K78" s="94"/>
      <c r="L78" s="94"/>
      <c r="M78" s="133" t="s">
        <v>86</v>
      </c>
      <c r="N78" s="136"/>
      <c r="O78" s="170" t="s">
        <v>487</v>
      </c>
      <c r="P78" s="170" t="s">
        <v>488</v>
      </c>
    </row>
    <row r="79" spans="1:16" ht="276.75">
      <c r="A79" s="25" t="s">
        <v>489</v>
      </c>
      <c r="B79" s="29" t="s">
        <v>175</v>
      </c>
      <c r="C79" s="30" t="s">
        <v>459</v>
      </c>
      <c r="D79" s="30"/>
      <c r="E79" s="30" t="s">
        <v>490</v>
      </c>
      <c r="F79" s="30" t="s">
        <v>491</v>
      </c>
      <c r="G79" s="53" t="s">
        <v>100</v>
      </c>
      <c r="H79" s="142" t="s">
        <v>14</v>
      </c>
      <c r="I79" s="109"/>
      <c r="J79" s="95" t="s">
        <v>85</v>
      </c>
      <c r="K79" s="94"/>
      <c r="L79" s="94"/>
      <c r="M79" s="133" t="s">
        <v>86</v>
      </c>
      <c r="N79" s="136"/>
      <c r="O79" s="170" t="s">
        <v>492</v>
      </c>
      <c r="P79" s="170" t="s">
        <v>493</v>
      </c>
    </row>
    <row r="80" spans="1:16" ht="276.75">
      <c r="A80" s="25" t="s">
        <v>494</v>
      </c>
      <c r="B80" s="29" t="s">
        <v>175</v>
      </c>
      <c r="C80" s="26" t="s">
        <v>495</v>
      </c>
      <c r="D80" s="26"/>
      <c r="E80" s="144" t="s">
        <v>496</v>
      </c>
      <c r="F80" s="26" t="s">
        <v>258</v>
      </c>
      <c r="G80" s="25" t="s">
        <v>100</v>
      </c>
      <c r="H80" s="142" t="s">
        <v>14</v>
      </c>
      <c r="I80" s="94"/>
      <c r="J80" s="95" t="s">
        <v>85</v>
      </c>
      <c r="K80" s="94"/>
      <c r="L80" s="94"/>
      <c r="M80" s="133" t="s">
        <v>86</v>
      </c>
      <c r="N80" s="136"/>
      <c r="O80" s="170" t="s">
        <v>497</v>
      </c>
      <c r="P80" s="170" t="s">
        <v>498</v>
      </c>
    </row>
    <row r="81" spans="1:16" ht="234.75">
      <c r="A81" s="25" t="s">
        <v>499</v>
      </c>
      <c r="B81" s="29" t="s">
        <v>500</v>
      </c>
      <c r="C81" s="26" t="s">
        <v>501</v>
      </c>
      <c r="D81" s="26"/>
      <c r="E81" s="144" t="s">
        <v>502</v>
      </c>
      <c r="F81" s="111" t="s">
        <v>503</v>
      </c>
      <c r="G81" s="25" t="s">
        <v>100</v>
      </c>
      <c r="H81" s="142" t="s">
        <v>14</v>
      </c>
      <c r="I81" s="29"/>
      <c r="J81" s="30" t="s">
        <v>85</v>
      </c>
      <c r="K81" s="26"/>
      <c r="L81" s="26"/>
      <c r="M81" s="133" t="s">
        <v>86</v>
      </c>
      <c r="N81" s="136"/>
      <c r="O81" s="170" t="s">
        <v>504</v>
      </c>
      <c r="P81" s="170" t="s">
        <v>505</v>
      </c>
    </row>
    <row r="82" spans="1:16" ht="234.75">
      <c r="A82" s="25" t="s">
        <v>506</v>
      </c>
      <c r="B82" s="29" t="s">
        <v>500</v>
      </c>
      <c r="C82" s="26" t="s">
        <v>501</v>
      </c>
      <c r="D82" s="26"/>
      <c r="E82" s="144" t="s">
        <v>507</v>
      </c>
      <c r="F82" s="111" t="s">
        <v>508</v>
      </c>
      <c r="G82" s="25" t="s">
        <v>100</v>
      </c>
      <c r="H82" s="142" t="s">
        <v>14</v>
      </c>
      <c r="I82" s="26"/>
      <c r="J82" s="30" t="s">
        <v>85</v>
      </c>
      <c r="K82" s="26"/>
      <c r="L82" s="26"/>
      <c r="M82" s="133" t="s">
        <v>86</v>
      </c>
      <c r="N82" s="136"/>
      <c r="O82" s="170" t="s">
        <v>509</v>
      </c>
      <c r="P82" s="170" t="s">
        <v>510</v>
      </c>
    </row>
    <row r="83" spans="1:16" ht="234.75">
      <c r="A83" s="25" t="s">
        <v>511</v>
      </c>
      <c r="B83" s="29" t="s">
        <v>500</v>
      </c>
      <c r="C83" s="26" t="s">
        <v>501</v>
      </c>
      <c r="D83" s="26"/>
      <c r="E83" s="145" t="s">
        <v>512</v>
      </c>
      <c r="F83" s="111" t="s">
        <v>503</v>
      </c>
      <c r="G83" s="25" t="s">
        <v>100</v>
      </c>
      <c r="H83" s="142" t="s">
        <v>14</v>
      </c>
      <c r="I83" s="29"/>
      <c r="J83" s="30" t="s">
        <v>85</v>
      </c>
      <c r="K83" s="26"/>
      <c r="L83" s="26"/>
      <c r="M83" s="133" t="s">
        <v>86</v>
      </c>
      <c r="N83" s="136"/>
      <c r="O83" s="170" t="s">
        <v>513</v>
      </c>
      <c r="P83" s="170" t="s">
        <v>514</v>
      </c>
    </row>
    <row r="84" spans="1:16" ht="234.75">
      <c r="A84" s="25" t="s">
        <v>515</v>
      </c>
      <c r="B84" s="29" t="s">
        <v>500</v>
      </c>
      <c r="C84" s="26" t="s">
        <v>501</v>
      </c>
      <c r="D84" s="26"/>
      <c r="E84" s="145" t="s">
        <v>516</v>
      </c>
      <c r="F84" s="111" t="s">
        <v>503</v>
      </c>
      <c r="G84" s="25" t="s">
        <v>100</v>
      </c>
      <c r="H84" s="142" t="s">
        <v>14</v>
      </c>
      <c r="I84" s="29"/>
      <c r="J84" s="30" t="s">
        <v>85</v>
      </c>
      <c r="K84" s="26"/>
      <c r="L84" s="26"/>
      <c r="M84" s="133" t="s">
        <v>86</v>
      </c>
      <c r="N84" s="136"/>
      <c r="O84" s="170" t="s">
        <v>517</v>
      </c>
      <c r="P84" s="170" t="s">
        <v>518</v>
      </c>
    </row>
    <row r="85" spans="1:16" ht="234.75">
      <c r="A85" s="25" t="s">
        <v>519</v>
      </c>
      <c r="B85" s="29" t="s">
        <v>500</v>
      </c>
      <c r="C85" s="26" t="s">
        <v>501</v>
      </c>
      <c r="D85" s="26"/>
      <c r="E85" s="145" t="s">
        <v>520</v>
      </c>
      <c r="F85" s="111" t="s">
        <v>503</v>
      </c>
      <c r="G85" s="25" t="s">
        <v>100</v>
      </c>
      <c r="H85" s="142" t="s">
        <v>14</v>
      </c>
      <c r="I85" s="29"/>
      <c r="J85" s="30" t="s">
        <v>85</v>
      </c>
      <c r="K85" s="26"/>
      <c r="L85" s="26"/>
      <c r="M85" s="133" t="s">
        <v>86</v>
      </c>
      <c r="N85" s="136"/>
      <c r="O85" s="170" t="s">
        <v>521</v>
      </c>
      <c r="P85" s="170" t="s">
        <v>522</v>
      </c>
    </row>
    <row r="86" spans="1:16" ht="234.75">
      <c r="A86" s="25" t="s">
        <v>523</v>
      </c>
      <c r="B86" s="29" t="s">
        <v>500</v>
      </c>
      <c r="C86" s="26" t="s">
        <v>501</v>
      </c>
      <c r="D86" s="26"/>
      <c r="E86" s="145" t="s">
        <v>524</v>
      </c>
      <c r="F86" s="111" t="s">
        <v>503</v>
      </c>
      <c r="G86" s="25" t="s">
        <v>100</v>
      </c>
      <c r="H86" s="24" t="s">
        <v>14</v>
      </c>
      <c r="I86" s="29"/>
      <c r="J86" s="30" t="s">
        <v>85</v>
      </c>
      <c r="K86" s="26"/>
      <c r="L86" s="26"/>
      <c r="M86" s="133" t="s">
        <v>86</v>
      </c>
      <c r="N86" s="136"/>
      <c r="O86" s="170" t="s">
        <v>525</v>
      </c>
      <c r="P86" s="170" t="s">
        <v>526</v>
      </c>
    </row>
    <row r="87" spans="1:16" ht="234.75">
      <c r="A87" s="25" t="s">
        <v>527</v>
      </c>
      <c r="B87" s="29" t="s">
        <v>500</v>
      </c>
      <c r="C87" s="26" t="s">
        <v>501</v>
      </c>
      <c r="D87" s="26"/>
      <c r="E87" s="144" t="s">
        <v>528</v>
      </c>
      <c r="F87" s="111" t="s">
        <v>529</v>
      </c>
      <c r="G87" s="25" t="s">
        <v>100</v>
      </c>
      <c r="H87" s="24" t="s">
        <v>14</v>
      </c>
      <c r="I87" s="29"/>
      <c r="J87" s="30" t="s">
        <v>85</v>
      </c>
      <c r="K87" s="26"/>
      <c r="L87" s="26"/>
      <c r="M87" s="133" t="s">
        <v>86</v>
      </c>
      <c r="N87" s="136"/>
      <c r="O87" s="170" t="s">
        <v>530</v>
      </c>
      <c r="P87" s="170" t="s">
        <v>531</v>
      </c>
    </row>
    <row r="88" spans="1:16" ht="234.75">
      <c r="A88" s="25" t="s">
        <v>532</v>
      </c>
      <c r="B88" s="29" t="s">
        <v>500</v>
      </c>
      <c r="C88" s="26" t="s">
        <v>501</v>
      </c>
      <c r="D88" s="26"/>
      <c r="E88" s="144" t="s">
        <v>533</v>
      </c>
      <c r="F88" s="111" t="s">
        <v>529</v>
      </c>
      <c r="G88" s="25" t="s">
        <v>100</v>
      </c>
      <c r="H88" s="24" t="s">
        <v>14</v>
      </c>
      <c r="I88" s="29"/>
      <c r="J88" s="30" t="s">
        <v>85</v>
      </c>
      <c r="K88" s="26"/>
      <c r="L88" s="26"/>
      <c r="M88" s="133" t="s">
        <v>86</v>
      </c>
      <c r="N88" s="136"/>
      <c r="O88" s="170" t="s">
        <v>534</v>
      </c>
      <c r="P88" s="170" t="s">
        <v>535</v>
      </c>
    </row>
    <row r="89" spans="1:16" ht="234.75">
      <c r="A89" s="25" t="s">
        <v>536</v>
      </c>
      <c r="B89" s="26" t="s">
        <v>537</v>
      </c>
      <c r="C89" s="26" t="s">
        <v>538</v>
      </c>
      <c r="D89" s="26"/>
      <c r="E89" s="29" t="s">
        <v>539</v>
      </c>
      <c r="F89" s="29" t="s">
        <v>540</v>
      </c>
      <c r="G89" s="25" t="s">
        <v>100</v>
      </c>
      <c r="H89" s="24" t="s">
        <v>14</v>
      </c>
      <c r="I89" s="29"/>
      <c r="J89" s="30" t="s">
        <v>85</v>
      </c>
      <c r="K89" s="26"/>
      <c r="L89" s="26"/>
      <c r="M89" s="133" t="s">
        <v>179</v>
      </c>
      <c r="N89" s="136" t="s">
        <v>541</v>
      </c>
      <c r="O89" s="170" t="s">
        <v>542</v>
      </c>
      <c r="P89" s="170" t="s">
        <v>543</v>
      </c>
    </row>
    <row r="90" spans="1:16" ht="234.75">
      <c r="A90" s="25" t="s">
        <v>544</v>
      </c>
      <c r="B90" s="26" t="s">
        <v>537</v>
      </c>
      <c r="C90" s="26" t="s">
        <v>545</v>
      </c>
      <c r="D90" s="26"/>
      <c r="E90" s="145" t="s">
        <v>546</v>
      </c>
      <c r="F90" s="111" t="s">
        <v>547</v>
      </c>
      <c r="G90" s="25" t="s">
        <v>100</v>
      </c>
      <c r="H90" s="24" t="s">
        <v>14</v>
      </c>
      <c r="I90" s="26"/>
      <c r="J90" s="30" t="s">
        <v>85</v>
      </c>
      <c r="K90" s="26"/>
      <c r="L90" s="26"/>
      <c r="M90" s="133" t="s">
        <v>179</v>
      </c>
      <c r="N90" s="136" t="s">
        <v>541</v>
      </c>
      <c r="O90" s="170" t="s">
        <v>548</v>
      </c>
      <c r="P90" s="170" t="s">
        <v>549</v>
      </c>
    </row>
    <row r="91" spans="1:16" ht="262.5">
      <c r="A91" s="25" t="s">
        <v>550</v>
      </c>
      <c r="B91" s="26" t="s">
        <v>537</v>
      </c>
      <c r="C91" s="26" t="s">
        <v>545</v>
      </c>
      <c r="D91" s="26"/>
      <c r="E91" s="144" t="s">
        <v>551</v>
      </c>
      <c r="F91" s="146" t="s">
        <v>552</v>
      </c>
      <c r="G91" s="25" t="s">
        <v>100</v>
      </c>
      <c r="H91" s="24" t="s">
        <v>14</v>
      </c>
      <c r="I91" s="26"/>
      <c r="J91" s="30" t="s">
        <v>85</v>
      </c>
      <c r="K91" s="26"/>
      <c r="L91" s="26"/>
      <c r="M91" s="133" t="s">
        <v>179</v>
      </c>
      <c r="N91" s="136" t="s">
        <v>541</v>
      </c>
      <c r="O91" s="170" t="s">
        <v>553</v>
      </c>
      <c r="P91" s="170" t="s">
        <v>554</v>
      </c>
    </row>
    <row r="92" spans="1:16" ht="234.75">
      <c r="A92" s="25" t="s">
        <v>555</v>
      </c>
      <c r="B92" s="26" t="s">
        <v>537</v>
      </c>
      <c r="C92" s="26" t="s">
        <v>556</v>
      </c>
      <c r="D92" s="26"/>
      <c r="E92" s="144" t="s">
        <v>557</v>
      </c>
      <c r="F92" s="111" t="s">
        <v>558</v>
      </c>
      <c r="G92" s="25" t="s">
        <v>100</v>
      </c>
      <c r="H92" s="24" t="s">
        <v>14</v>
      </c>
      <c r="I92" s="26"/>
      <c r="J92" s="30" t="s">
        <v>85</v>
      </c>
      <c r="K92" s="26"/>
      <c r="L92" s="26"/>
      <c r="M92" s="133" t="s">
        <v>179</v>
      </c>
      <c r="N92" s="136" t="s">
        <v>541</v>
      </c>
      <c r="O92" s="170" t="s">
        <v>559</v>
      </c>
      <c r="P92" s="170" t="s">
        <v>560</v>
      </c>
    </row>
    <row r="93" spans="1:16" ht="19.5" customHeight="1">
      <c r="A93" s="25" t="s">
        <v>561</v>
      </c>
      <c r="B93" s="26" t="s">
        <v>537</v>
      </c>
      <c r="C93" s="26" t="s">
        <v>562</v>
      </c>
      <c r="D93" s="26"/>
      <c r="E93" s="144" t="s">
        <v>563</v>
      </c>
      <c r="F93" s="111" t="s">
        <v>564</v>
      </c>
      <c r="G93" s="25" t="s">
        <v>100</v>
      </c>
      <c r="H93" s="24" t="s">
        <v>14</v>
      </c>
      <c r="I93" s="29"/>
      <c r="J93" s="30" t="s">
        <v>85</v>
      </c>
      <c r="K93" s="26" t="s">
        <v>86</v>
      </c>
      <c r="L93" s="26" t="s">
        <v>86</v>
      </c>
      <c r="M93" s="133" t="s">
        <v>179</v>
      </c>
      <c r="N93" s="136" t="s">
        <v>541</v>
      </c>
      <c r="O93" s="170" t="s">
        <v>565</v>
      </c>
      <c r="P93" s="170" t="s">
        <v>566</v>
      </c>
    </row>
    <row r="94" spans="1:16" ht="262.5">
      <c r="A94" s="25" t="s">
        <v>567</v>
      </c>
      <c r="B94" s="26" t="s">
        <v>537</v>
      </c>
      <c r="C94" s="26" t="s">
        <v>568</v>
      </c>
      <c r="D94" s="26"/>
      <c r="E94" s="26" t="s">
        <v>569</v>
      </c>
      <c r="F94" s="146" t="s">
        <v>570</v>
      </c>
      <c r="G94" s="25" t="s">
        <v>100</v>
      </c>
      <c r="H94" s="24" t="s">
        <v>14</v>
      </c>
      <c r="I94" s="26"/>
      <c r="J94" s="30" t="s">
        <v>85</v>
      </c>
      <c r="K94" s="26"/>
      <c r="L94" s="26"/>
      <c r="M94" s="133" t="s">
        <v>179</v>
      </c>
      <c r="N94" s="136" t="s">
        <v>541</v>
      </c>
      <c r="O94" s="170" t="s">
        <v>571</v>
      </c>
      <c r="P94" s="170" t="s">
        <v>572</v>
      </c>
    </row>
    <row r="95" spans="1:16" ht="262.5">
      <c r="A95" s="25" t="s">
        <v>573</v>
      </c>
      <c r="B95" s="33" t="s">
        <v>537</v>
      </c>
      <c r="C95" s="33" t="s">
        <v>568</v>
      </c>
      <c r="D95" s="33"/>
      <c r="E95" s="33" t="s">
        <v>574</v>
      </c>
      <c r="F95" s="147" t="s">
        <v>575</v>
      </c>
      <c r="G95" s="25" t="s">
        <v>100</v>
      </c>
      <c r="H95" s="24" t="s">
        <v>14</v>
      </c>
      <c r="I95" s="26"/>
      <c r="J95" s="30" t="s">
        <v>85</v>
      </c>
      <c r="K95" s="26"/>
      <c r="L95" s="26"/>
      <c r="M95" s="133" t="s">
        <v>179</v>
      </c>
      <c r="N95" s="136" t="s">
        <v>541</v>
      </c>
      <c r="O95" s="170" t="s">
        <v>576</v>
      </c>
      <c r="P95" s="170" t="s">
        <v>577</v>
      </c>
    </row>
    <row r="96" spans="1:16" ht="262.5">
      <c r="A96" s="25" t="s">
        <v>578</v>
      </c>
      <c r="B96" s="26" t="s">
        <v>537</v>
      </c>
      <c r="C96" s="26" t="s">
        <v>579</v>
      </c>
      <c r="D96" s="26"/>
      <c r="E96" s="144" t="s">
        <v>580</v>
      </c>
      <c r="F96" s="111" t="s">
        <v>581</v>
      </c>
      <c r="G96" s="25" t="s">
        <v>100</v>
      </c>
      <c r="H96" s="24" t="s">
        <v>14</v>
      </c>
      <c r="I96" s="26"/>
      <c r="J96" s="30" t="s">
        <v>85</v>
      </c>
      <c r="K96" s="26"/>
      <c r="L96" s="26"/>
      <c r="M96" s="133" t="s">
        <v>179</v>
      </c>
      <c r="N96" s="136" t="s">
        <v>541</v>
      </c>
      <c r="O96" s="170" t="s">
        <v>582</v>
      </c>
      <c r="P96" s="170" t="s">
        <v>583</v>
      </c>
    </row>
    <row r="97" spans="1:16" ht="234.75">
      <c r="A97" s="25" t="s">
        <v>584</v>
      </c>
      <c r="B97" s="26" t="s">
        <v>537</v>
      </c>
      <c r="C97" s="26" t="s">
        <v>585</v>
      </c>
      <c r="D97" s="26"/>
      <c r="E97" s="145" t="s">
        <v>586</v>
      </c>
      <c r="F97" s="146" t="s">
        <v>587</v>
      </c>
      <c r="G97" s="25" t="s">
        <v>100</v>
      </c>
      <c r="H97" s="24" t="s">
        <v>14</v>
      </c>
      <c r="I97" s="26"/>
      <c r="J97" s="30" t="s">
        <v>85</v>
      </c>
      <c r="K97" s="26"/>
      <c r="L97" s="26"/>
      <c r="M97" s="133" t="s">
        <v>179</v>
      </c>
      <c r="N97" s="136" t="s">
        <v>541</v>
      </c>
      <c r="O97" s="170" t="s">
        <v>588</v>
      </c>
      <c r="P97" s="170" t="s">
        <v>589</v>
      </c>
    </row>
    <row r="98" spans="1:16" ht="290.25">
      <c r="A98" s="25" t="s">
        <v>590</v>
      </c>
      <c r="B98" s="33" t="s">
        <v>591</v>
      </c>
      <c r="C98" s="33" t="s">
        <v>592</v>
      </c>
      <c r="D98" s="33"/>
      <c r="E98" s="33" t="s">
        <v>593</v>
      </c>
      <c r="F98" s="33" t="s">
        <v>594</v>
      </c>
      <c r="G98" s="36" t="s">
        <v>100</v>
      </c>
      <c r="H98" s="24" t="s">
        <v>14</v>
      </c>
      <c r="I98" s="33"/>
      <c r="J98" s="112" t="s">
        <v>85</v>
      </c>
      <c r="K98" s="26" t="s">
        <v>86</v>
      </c>
      <c r="L98" s="26" t="s">
        <v>86</v>
      </c>
      <c r="M98" s="133" t="s">
        <v>157</v>
      </c>
      <c r="N98" s="136" t="s">
        <v>165</v>
      </c>
      <c r="O98" s="170" t="s">
        <v>595</v>
      </c>
      <c r="P98" s="170" t="s">
        <v>596</v>
      </c>
    </row>
    <row r="99" spans="1:16" ht="372.75">
      <c r="A99" s="25" t="s">
        <v>597</v>
      </c>
      <c r="B99" s="33" t="s">
        <v>598</v>
      </c>
      <c r="C99" s="33" t="s">
        <v>599</v>
      </c>
      <c r="D99" s="33"/>
      <c r="E99" s="33" t="s">
        <v>600</v>
      </c>
      <c r="F99" s="33" t="s">
        <v>601</v>
      </c>
      <c r="G99" s="36" t="s">
        <v>100</v>
      </c>
      <c r="H99" s="24" t="s">
        <v>14</v>
      </c>
      <c r="I99" s="33"/>
      <c r="J99" s="112" t="s">
        <v>85</v>
      </c>
      <c r="K99" s="26" t="s">
        <v>86</v>
      </c>
      <c r="L99" s="26" t="s">
        <v>86</v>
      </c>
      <c r="M99" s="133" t="s">
        <v>157</v>
      </c>
      <c r="N99" s="136" t="s">
        <v>165</v>
      </c>
      <c r="O99" s="170" t="s">
        <v>602</v>
      </c>
      <c r="P99" s="170" t="s">
        <v>603</v>
      </c>
    </row>
    <row r="100" spans="1:16" ht="290.25">
      <c r="A100" s="25" t="s">
        <v>604</v>
      </c>
      <c r="B100" s="33" t="s">
        <v>605</v>
      </c>
      <c r="C100" s="33" t="s">
        <v>606</v>
      </c>
      <c r="D100" s="33"/>
      <c r="E100" s="33" t="s">
        <v>607</v>
      </c>
      <c r="F100" s="33" t="s">
        <v>608</v>
      </c>
      <c r="G100" s="36" t="s">
        <v>100</v>
      </c>
      <c r="H100" s="24" t="s">
        <v>14</v>
      </c>
      <c r="I100" s="33"/>
      <c r="J100" s="112" t="s">
        <v>85</v>
      </c>
      <c r="K100" s="26"/>
      <c r="L100" s="26"/>
      <c r="M100" s="133" t="s">
        <v>157</v>
      </c>
      <c r="N100" s="136" t="s">
        <v>165</v>
      </c>
      <c r="O100" s="170" t="s">
        <v>609</v>
      </c>
      <c r="P100" s="170" t="s">
        <v>610</v>
      </c>
    </row>
    <row r="101" spans="1:16" ht="234.75">
      <c r="A101" s="25" t="s">
        <v>611</v>
      </c>
      <c r="B101" s="29" t="s">
        <v>612</v>
      </c>
      <c r="C101" s="26" t="s">
        <v>613</v>
      </c>
      <c r="D101" s="26"/>
      <c r="E101" s="26" t="s">
        <v>614</v>
      </c>
      <c r="F101" s="26" t="s">
        <v>615</v>
      </c>
      <c r="G101" s="25" t="s">
        <v>100</v>
      </c>
      <c r="H101" s="24" t="s">
        <v>14</v>
      </c>
      <c r="I101" s="29"/>
      <c r="J101" s="30" t="s">
        <v>85</v>
      </c>
      <c r="K101" s="26"/>
      <c r="L101" s="26"/>
      <c r="M101" s="133" t="s">
        <v>179</v>
      </c>
      <c r="N101" s="136" t="s">
        <v>616</v>
      </c>
      <c r="O101" s="170" t="s">
        <v>617</v>
      </c>
      <c r="P101" s="170" t="s">
        <v>618</v>
      </c>
    </row>
    <row r="102" spans="1:16" s="108" customFormat="1" ht="318">
      <c r="A102" s="25" t="s">
        <v>619</v>
      </c>
      <c r="B102" s="29" t="s">
        <v>620</v>
      </c>
      <c r="C102" s="30" t="s">
        <v>621</v>
      </c>
      <c r="D102" s="30"/>
      <c r="E102" s="30" t="s">
        <v>622</v>
      </c>
      <c r="F102" s="30" t="s">
        <v>623</v>
      </c>
      <c r="G102" s="53" t="s">
        <v>100</v>
      </c>
      <c r="H102" s="24" t="s">
        <v>14</v>
      </c>
      <c r="I102" s="29"/>
      <c r="J102" s="30" t="s">
        <v>85</v>
      </c>
      <c r="K102" s="30"/>
      <c r="L102" s="30"/>
      <c r="M102" s="133" t="s">
        <v>157</v>
      </c>
      <c r="N102" s="151" t="s">
        <v>165</v>
      </c>
      <c r="O102" s="170" t="s">
        <v>624</v>
      </c>
      <c r="P102" s="170" t="s">
        <v>625</v>
      </c>
    </row>
    <row r="103" spans="1:16" ht="317.25">
      <c r="A103" s="25" t="s">
        <v>626</v>
      </c>
      <c r="B103" s="26" t="s">
        <v>627</v>
      </c>
      <c r="C103" s="29" t="s">
        <v>628</v>
      </c>
      <c r="D103" s="26"/>
      <c r="E103" s="29" t="s">
        <v>629</v>
      </c>
      <c r="F103" s="26" t="s">
        <v>630</v>
      </c>
      <c r="G103" s="25" t="s">
        <v>100</v>
      </c>
      <c r="H103" s="24" t="s">
        <v>14</v>
      </c>
      <c r="I103" s="26"/>
      <c r="J103" s="30" t="s">
        <v>85</v>
      </c>
      <c r="K103" s="26"/>
      <c r="L103" s="26"/>
      <c r="M103" s="133" t="s">
        <v>86</v>
      </c>
      <c r="N103" s="136"/>
      <c r="O103" s="170" t="s">
        <v>631</v>
      </c>
      <c r="P103" s="170" t="s">
        <v>632</v>
      </c>
    </row>
    <row r="104" spans="1:16" ht="318">
      <c r="A104" s="25" t="s">
        <v>633</v>
      </c>
      <c r="B104" s="26" t="s">
        <v>634</v>
      </c>
      <c r="C104" s="26" t="s">
        <v>635</v>
      </c>
      <c r="D104" s="26"/>
      <c r="E104" s="26" t="s">
        <v>636</v>
      </c>
      <c r="F104" s="26" t="s">
        <v>637</v>
      </c>
      <c r="G104" s="25" t="s">
        <v>100</v>
      </c>
      <c r="H104" s="24" t="s">
        <v>14</v>
      </c>
      <c r="I104" s="26"/>
      <c r="J104" s="95" t="s">
        <v>85</v>
      </c>
      <c r="K104" s="26"/>
      <c r="L104" s="26"/>
      <c r="M104" s="133" t="s">
        <v>157</v>
      </c>
      <c r="N104" s="136" t="s">
        <v>638</v>
      </c>
      <c r="O104" s="170" t="s">
        <v>639</v>
      </c>
      <c r="P104" s="170" t="s">
        <v>640</v>
      </c>
    </row>
    <row r="105" spans="1:16" ht="276.75">
      <c r="A105" s="25" t="s">
        <v>641</v>
      </c>
      <c r="B105" s="26" t="s">
        <v>642</v>
      </c>
      <c r="C105" s="26" t="s">
        <v>643</v>
      </c>
      <c r="D105" s="26"/>
      <c r="E105" s="26" t="s">
        <v>644</v>
      </c>
      <c r="F105" s="26" t="s">
        <v>645</v>
      </c>
      <c r="G105" s="25" t="s">
        <v>100</v>
      </c>
      <c r="H105" s="24" t="s">
        <v>14</v>
      </c>
      <c r="I105" s="29"/>
      <c r="J105" s="30" t="s">
        <v>85</v>
      </c>
      <c r="K105" s="26"/>
      <c r="L105" s="26"/>
      <c r="M105" s="133" t="s">
        <v>157</v>
      </c>
      <c r="N105" s="136" t="s">
        <v>646</v>
      </c>
      <c r="O105" s="170" t="s">
        <v>647</v>
      </c>
      <c r="P105" s="170" t="s">
        <v>648</v>
      </c>
    </row>
    <row r="106" spans="1:16" ht="276.75">
      <c r="A106" s="25" t="s">
        <v>649</v>
      </c>
      <c r="B106" s="26" t="s">
        <v>642</v>
      </c>
      <c r="C106" s="26" t="s">
        <v>650</v>
      </c>
      <c r="D106" s="26"/>
      <c r="E106" s="26" t="s">
        <v>651</v>
      </c>
      <c r="F106" s="26" t="s">
        <v>652</v>
      </c>
      <c r="G106" s="25" t="s">
        <v>100</v>
      </c>
      <c r="H106" s="24" t="s">
        <v>14</v>
      </c>
      <c r="I106" s="29"/>
      <c r="J106" s="30" t="s">
        <v>85</v>
      </c>
      <c r="K106" s="26"/>
      <c r="L106" s="26"/>
      <c r="M106" s="133" t="s">
        <v>157</v>
      </c>
      <c r="N106" s="136" t="s">
        <v>646</v>
      </c>
      <c r="O106" s="170" t="s">
        <v>653</v>
      </c>
      <c r="P106" s="170" t="s">
        <v>654</v>
      </c>
    </row>
    <row r="107" spans="1:16" ht="317.25">
      <c r="A107" s="25" t="s">
        <v>655</v>
      </c>
      <c r="B107" s="26" t="s">
        <v>642</v>
      </c>
      <c r="C107" s="26" t="s">
        <v>656</v>
      </c>
      <c r="D107" s="26"/>
      <c r="E107" s="26" t="s">
        <v>657</v>
      </c>
      <c r="F107" s="26" t="s">
        <v>658</v>
      </c>
      <c r="G107" s="25" t="s">
        <v>100</v>
      </c>
      <c r="H107" s="24" t="s">
        <v>14</v>
      </c>
      <c r="I107" s="29"/>
      <c r="J107" s="30" t="s">
        <v>85</v>
      </c>
      <c r="K107" s="26"/>
      <c r="L107" s="26"/>
      <c r="M107" s="133" t="s">
        <v>157</v>
      </c>
      <c r="N107" s="136" t="s">
        <v>646</v>
      </c>
      <c r="O107" s="170" t="s">
        <v>659</v>
      </c>
      <c r="P107" s="170" t="s">
        <v>660</v>
      </c>
    </row>
    <row r="108" spans="1:16" ht="317.25">
      <c r="A108" s="25" t="s">
        <v>661</v>
      </c>
      <c r="B108" s="26" t="s">
        <v>642</v>
      </c>
      <c r="C108" s="26" t="s">
        <v>662</v>
      </c>
      <c r="D108" s="26"/>
      <c r="E108" s="26" t="s">
        <v>663</v>
      </c>
      <c r="F108" s="26" t="s">
        <v>658</v>
      </c>
      <c r="G108" s="25" t="s">
        <v>100</v>
      </c>
      <c r="H108" s="24" t="s">
        <v>14</v>
      </c>
      <c r="I108" s="29"/>
      <c r="J108" s="30" t="s">
        <v>85</v>
      </c>
      <c r="K108" s="26"/>
      <c r="L108" s="26"/>
      <c r="M108" s="133" t="s">
        <v>157</v>
      </c>
      <c r="N108" s="136" t="s">
        <v>646</v>
      </c>
      <c r="O108" s="170" t="s">
        <v>664</v>
      </c>
      <c r="P108" s="170" t="s">
        <v>665</v>
      </c>
    </row>
    <row r="109" spans="1:16" ht="317.25">
      <c r="A109" s="25" t="s">
        <v>666</v>
      </c>
      <c r="B109" s="26" t="s">
        <v>642</v>
      </c>
      <c r="C109" s="26" t="s">
        <v>238</v>
      </c>
      <c r="D109" s="26"/>
      <c r="E109" s="26" t="s">
        <v>663</v>
      </c>
      <c r="F109" s="26" t="s">
        <v>667</v>
      </c>
      <c r="G109" s="25" t="s">
        <v>100</v>
      </c>
      <c r="H109" s="24" t="s">
        <v>14</v>
      </c>
      <c r="I109" s="29"/>
      <c r="J109" s="30" t="s">
        <v>85</v>
      </c>
      <c r="K109" s="26"/>
      <c r="L109" s="26"/>
      <c r="M109" s="133" t="s">
        <v>157</v>
      </c>
      <c r="N109" s="136" t="s">
        <v>646</v>
      </c>
      <c r="O109" s="170" t="s">
        <v>668</v>
      </c>
      <c r="P109" s="170" t="s">
        <v>669</v>
      </c>
    </row>
    <row r="110" spans="1:16" ht="331.5">
      <c r="A110" s="25" t="s">
        <v>670</v>
      </c>
      <c r="B110" s="29" t="s">
        <v>671</v>
      </c>
      <c r="C110" s="26" t="s">
        <v>672</v>
      </c>
      <c r="D110" s="26"/>
      <c r="E110" s="26" t="s">
        <v>673</v>
      </c>
      <c r="F110" s="26" t="s">
        <v>674</v>
      </c>
      <c r="G110" s="25" t="s">
        <v>100</v>
      </c>
      <c r="H110" s="24" t="s">
        <v>14</v>
      </c>
      <c r="I110" s="29"/>
      <c r="J110" s="30" t="s">
        <v>85</v>
      </c>
      <c r="K110" s="26"/>
      <c r="L110" s="26"/>
      <c r="M110" s="133" t="s">
        <v>86</v>
      </c>
      <c r="N110" s="136"/>
      <c r="O110" s="170" t="s">
        <v>675</v>
      </c>
      <c r="P110" s="170" t="s">
        <v>676</v>
      </c>
    </row>
    <row r="111" spans="1:16" ht="331.5">
      <c r="A111" s="25" t="s">
        <v>677</v>
      </c>
      <c r="B111" s="29" t="s">
        <v>671</v>
      </c>
      <c r="C111" s="26" t="s">
        <v>678</v>
      </c>
      <c r="D111" s="26"/>
      <c r="E111" s="26" t="s">
        <v>679</v>
      </c>
      <c r="F111" s="26" t="s">
        <v>674</v>
      </c>
      <c r="G111" s="25" t="s">
        <v>100</v>
      </c>
      <c r="H111" s="24" t="s">
        <v>14</v>
      </c>
      <c r="I111" s="29"/>
      <c r="J111" s="30" t="s">
        <v>85</v>
      </c>
      <c r="K111" s="26"/>
      <c r="L111" s="26"/>
      <c r="M111" s="133" t="s">
        <v>86</v>
      </c>
      <c r="N111" s="136"/>
      <c r="O111" s="170" t="s">
        <v>680</v>
      </c>
      <c r="P111" s="170" t="s">
        <v>681</v>
      </c>
    </row>
    <row r="112" spans="1:16" ht="358.5">
      <c r="A112" s="25" t="s">
        <v>682</v>
      </c>
      <c r="B112" s="29" t="s">
        <v>671</v>
      </c>
      <c r="C112" s="26" t="s">
        <v>683</v>
      </c>
      <c r="D112" s="26"/>
      <c r="E112" s="26" t="s">
        <v>684</v>
      </c>
      <c r="F112" s="26" t="s">
        <v>630</v>
      </c>
      <c r="G112" s="25" t="s">
        <v>100</v>
      </c>
      <c r="H112" s="24" t="s">
        <v>14</v>
      </c>
      <c r="I112" s="29"/>
      <c r="J112" s="30" t="s">
        <v>85</v>
      </c>
      <c r="K112" s="26"/>
      <c r="L112" s="26"/>
      <c r="M112" s="133" t="s">
        <v>86</v>
      </c>
      <c r="N112" s="136"/>
      <c r="O112" s="170" t="s">
        <v>685</v>
      </c>
      <c r="P112" s="170" t="s">
        <v>686</v>
      </c>
    </row>
    <row r="113" spans="1:16" ht="358.5">
      <c r="A113" s="25" t="s">
        <v>687</v>
      </c>
      <c r="B113" s="29" t="s">
        <v>671</v>
      </c>
      <c r="C113" s="26" t="s">
        <v>688</v>
      </c>
      <c r="D113" s="26"/>
      <c r="E113" s="26" t="s">
        <v>689</v>
      </c>
      <c r="F113" s="26" t="s">
        <v>630</v>
      </c>
      <c r="G113" s="25" t="s">
        <v>100</v>
      </c>
      <c r="H113" s="24" t="s">
        <v>14</v>
      </c>
      <c r="I113" s="29"/>
      <c r="J113" s="30" t="s">
        <v>85</v>
      </c>
      <c r="K113" s="26"/>
      <c r="L113" s="26"/>
      <c r="M113" s="133" t="s">
        <v>86</v>
      </c>
      <c r="N113" s="136"/>
      <c r="O113" s="170" t="s">
        <v>690</v>
      </c>
      <c r="P113" s="170" t="s">
        <v>691</v>
      </c>
    </row>
    <row r="114" spans="1:16" ht="358.5">
      <c r="A114" s="25" t="s">
        <v>692</v>
      </c>
      <c r="B114" s="29" t="s">
        <v>671</v>
      </c>
      <c r="C114" s="26" t="s">
        <v>693</v>
      </c>
      <c r="D114" s="26"/>
      <c r="E114" s="26" t="s">
        <v>694</v>
      </c>
      <c r="F114" s="26" t="s">
        <v>630</v>
      </c>
      <c r="G114" s="25" t="s">
        <v>100</v>
      </c>
      <c r="H114" s="24" t="s">
        <v>14</v>
      </c>
      <c r="I114" s="29"/>
      <c r="J114" s="30" t="s">
        <v>85</v>
      </c>
      <c r="K114" s="26"/>
      <c r="L114" s="26"/>
      <c r="M114" s="133" t="s">
        <v>86</v>
      </c>
      <c r="N114" s="136"/>
      <c r="O114" s="170" t="s">
        <v>695</v>
      </c>
      <c r="P114" s="170" t="s">
        <v>696</v>
      </c>
    </row>
  </sheetData>
  <sheetProtection formatCells="0" formatColumns="0" formatRows="0" insertColumns="0" insertRows="0" insertHyperlinks="0" deleteColumns="0" deleteRows="0" sort="0" autoFilter="0" pivotTables="0"/>
  <autoFilter ref="A4:S114" xr:uid="{00000000-0009-0000-0000-000001000000}"/>
  <mergeCells count="2">
    <mergeCell ref="A1:L1"/>
    <mergeCell ref="B3:F3"/>
  </mergeCells>
  <phoneticPr fontId="25" type="noConversion"/>
  <conditionalFormatting sqref="H5:H395">
    <cfRule type="cellIs" dxfId="38" priority="13" stopIfTrue="1" operator="equal">
      <formula>"N/A"</formula>
    </cfRule>
    <cfRule type="cellIs" dxfId="37" priority="14" stopIfTrue="1" operator="equal">
      <formula>"Pass"</formula>
    </cfRule>
    <cfRule type="cellIs" dxfId="36" priority="15" stopIfTrue="1" operator="equal">
      <formula>"Fail"</formula>
    </cfRule>
  </conditionalFormatting>
  <dataValidations count="3">
    <dataValidation type="list" allowBlank="1" showErrorMessage="1" errorTitle="错误提示" error="请输入下拉列表中的值" sqref="G5:G1048576" xr:uid="{00000000-0002-0000-0100-000000000000}">
      <formula1>"P0,P1,P2"</formula1>
    </dataValidation>
    <dataValidation type="list" allowBlank="1" showInputMessage="1" showErrorMessage="1" errorTitle="错误提示" error="请输入下拉列表中的值" sqref="H2:H1048576" xr:uid="{00000000-0002-0000-0100-000001000000}">
      <formula1>"Pass,Fail,N/A"</formula1>
    </dataValidation>
    <dataValidation type="list" allowBlank="1" showInputMessage="1" showErrorMessage="1" sqref="M5:M114" xr:uid="{A1712FCD-C409-274E-8410-3BA2BF9F134C}">
      <formula1>"Yes,No,Todo"</formula1>
    </dataValidation>
  </dataValidations>
  <pageMargins left="0.7" right="0.7" top="0.75" bottom="0.75" header="0.3" footer="0.3"/>
  <pageSetup paperSize="9" scale="50" orientation="portrait"/>
  <ignoredErrors>
    <ignoredError sqref="H3:H4" listDataValidation="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4"/>
  <sheetViews>
    <sheetView view="pageBreakPreview" zoomScaleNormal="100" workbookViewId="0">
      <pane ySplit="4" topLeftCell="K5" activePane="bottomLeft" state="frozen"/>
      <selection pane="bottomLeft" activeCell="K5" sqref="K5"/>
    </sheetView>
  </sheetViews>
  <sheetFormatPr defaultColWidth="9" defaultRowHeight="14.1"/>
  <cols>
    <col min="1" max="1" width="14.125" customWidth="1"/>
    <col min="2" max="2" width="6.625" customWidth="1"/>
    <col min="3" max="3" width="11" customWidth="1"/>
    <col min="4" max="4" width="11.375" customWidth="1"/>
    <col min="5" max="5" width="25.5" customWidth="1"/>
    <col min="6" max="6" width="21.375" customWidth="1"/>
    <col min="8" max="8" width="9.5" customWidth="1"/>
    <col min="10" max="10" width="11.625" customWidth="1"/>
    <col min="11" max="11" width="12.5" style="57" bestFit="1" customWidth="1"/>
    <col min="12" max="12" width="13.875" style="57" bestFit="1" customWidth="1"/>
  </cols>
  <sheetData>
    <row r="1" spans="1:13" ht="20.100000000000001">
      <c r="A1" s="172" t="s">
        <v>697</v>
      </c>
      <c r="B1" s="172"/>
      <c r="C1" s="172"/>
      <c r="D1" s="172"/>
      <c r="E1" s="172"/>
      <c r="F1" s="172"/>
      <c r="G1" s="172"/>
      <c r="H1" s="172"/>
      <c r="I1" s="172"/>
      <c r="J1" s="172"/>
      <c r="K1" s="136"/>
      <c r="L1" s="136"/>
    </row>
    <row r="2" spans="1:13" ht="26.25" customHeight="1">
      <c r="A2" s="12" t="s">
        <v>60</v>
      </c>
      <c r="B2" s="13" t="str">
        <f>IF(Summary!B3="","",Summary!B3)</f>
        <v/>
      </c>
      <c r="C2" s="12" t="s">
        <v>61</v>
      </c>
      <c r="D2" s="13" t="str">
        <f>IF(Summary!B4="","",Summary!B4)</f>
        <v/>
      </c>
      <c r="E2" s="12" t="s">
        <v>8</v>
      </c>
      <c r="F2" s="14" t="str">
        <f>IF(Summary!B8="","",Summary!B8)</f>
        <v/>
      </c>
      <c r="G2" s="15" t="s">
        <v>11</v>
      </c>
      <c r="H2" s="15" t="s">
        <v>12</v>
      </c>
      <c r="I2" s="16" t="s">
        <v>13</v>
      </c>
      <c r="J2" s="15" t="s">
        <v>14</v>
      </c>
      <c r="K2" s="136"/>
      <c r="L2" s="136"/>
    </row>
    <row r="3" spans="1:13" ht="28.5" customHeight="1">
      <c r="A3" s="16" t="s">
        <v>62</v>
      </c>
      <c r="B3" s="173"/>
      <c r="C3" s="174"/>
      <c r="D3" s="174"/>
      <c r="E3" s="174"/>
      <c r="F3" s="175"/>
      <c r="G3" s="17">
        <f>COUNTIFS(A:A,"*")-4</f>
        <v>5</v>
      </c>
      <c r="H3" s="17">
        <f t="shared" ref="H3:J3" si="0">COUNTIFS($H4:$H499,H2)</f>
        <v>0</v>
      </c>
      <c r="I3" s="17">
        <f t="shared" si="0"/>
        <v>0</v>
      </c>
      <c r="J3" s="17">
        <f t="shared" si="0"/>
        <v>0</v>
      </c>
      <c r="K3" s="136"/>
      <c r="L3"/>
    </row>
    <row r="4" spans="1:13" ht="26.1">
      <c r="A4" s="137" t="s">
        <v>157</v>
      </c>
      <c r="B4" s="137" t="s">
        <v>64</v>
      </c>
      <c r="C4" s="61" t="s">
        <v>65</v>
      </c>
      <c r="D4" s="61" t="s">
        <v>66</v>
      </c>
      <c r="E4" s="138" t="s">
        <v>67</v>
      </c>
      <c r="F4" s="137" t="s">
        <v>68</v>
      </c>
      <c r="G4" s="137" t="s">
        <v>48</v>
      </c>
      <c r="H4" s="137" t="s">
        <v>69</v>
      </c>
      <c r="I4" s="137" t="s">
        <v>70</v>
      </c>
      <c r="J4" s="139" t="s">
        <v>71</v>
      </c>
      <c r="K4" s="132" t="s">
        <v>74</v>
      </c>
      <c r="L4" s="132" t="s">
        <v>75</v>
      </c>
    </row>
    <row r="5" spans="1:13" ht="78.599999999999994" customHeight="1">
      <c r="A5" s="83" t="s">
        <v>698</v>
      </c>
      <c r="B5" s="26" t="s">
        <v>23</v>
      </c>
      <c r="C5" s="26" t="s">
        <v>699</v>
      </c>
      <c r="D5" s="26"/>
      <c r="E5" s="144" t="s">
        <v>700</v>
      </c>
      <c r="F5" s="26" t="s">
        <v>701</v>
      </c>
      <c r="G5" s="25" t="s">
        <v>100</v>
      </c>
      <c r="H5" s="24"/>
      <c r="I5" s="94"/>
      <c r="J5" s="95" t="s">
        <v>85</v>
      </c>
      <c r="K5" s="133" t="s">
        <v>179</v>
      </c>
      <c r="L5" s="133" t="s">
        <v>702</v>
      </c>
      <c r="M5" t="s">
        <v>703</v>
      </c>
    </row>
    <row r="6" spans="1:13" ht="44.25">
      <c r="A6" s="83" t="s">
        <v>704</v>
      </c>
      <c r="B6" s="26" t="s">
        <v>23</v>
      </c>
      <c r="C6" s="26" t="s">
        <v>699</v>
      </c>
      <c r="D6" s="26"/>
      <c r="E6" s="144" t="s">
        <v>705</v>
      </c>
      <c r="F6" s="26" t="s">
        <v>701</v>
      </c>
      <c r="G6" s="25" t="s">
        <v>100</v>
      </c>
      <c r="H6" s="24"/>
      <c r="I6" s="94"/>
      <c r="J6" s="95" t="s">
        <v>85</v>
      </c>
      <c r="K6" s="133" t="s">
        <v>179</v>
      </c>
      <c r="L6" s="136" t="s">
        <v>702</v>
      </c>
    </row>
    <row r="7" spans="1:13" ht="87.75" customHeight="1">
      <c r="A7" s="83" t="s">
        <v>706</v>
      </c>
      <c r="B7" s="26" t="s">
        <v>23</v>
      </c>
      <c r="C7" s="26" t="s">
        <v>699</v>
      </c>
      <c r="D7" s="26"/>
      <c r="E7" s="144" t="s">
        <v>707</v>
      </c>
      <c r="F7" s="26" t="s">
        <v>701</v>
      </c>
      <c r="G7" s="25" t="s">
        <v>100</v>
      </c>
      <c r="H7" s="24"/>
      <c r="I7" s="94"/>
      <c r="J7" s="95" t="s">
        <v>85</v>
      </c>
      <c r="K7" s="133" t="s">
        <v>179</v>
      </c>
      <c r="L7" s="136" t="s">
        <v>702</v>
      </c>
    </row>
    <row r="8" spans="1:13" ht="44.25">
      <c r="A8" s="83" t="s">
        <v>708</v>
      </c>
      <c r="B8" s="26" t="s">
        <v>23</v>
      </c>
      <c r="C8" s="26" t="s">
        <v>699</v>
      </c>
      <c r="D8" s="26"/>
      <c r="E8" s="144" t="s">
        <v>709</v>
      </c>
      <c r="F8" s="26" t="s">
        <v>701</v>
      </c>
      <c r="G8" s="25" t="s">
        <v>100</v>
      </c>
      <c r="H8" s="24"/>
      <c r="I8" s="94"/>
      <c r="J8" s="95" t="s">
        <v>85</v>
      </c>
      <c r="K8" s="133" t="s">
        <v>179</v>
      </c>
      <c r="L8" s="136" t="s">
        <v>702</v>
      </c>
    </row>
    <row r="9" spans="1:13" ht="35.25">
      <c r="A9" s="83" t="s">
        <v>710</v>
      </c>
      <c r="B9" s="26" t="s">
        <v>23</v>
      </c>
      <c r="C9" s="26" t="s">
        <v>699</v>
      </c>
      <c r="D9" s="26"/>
      <c r="E9" s="145" t="s">
        <v>711</v>
      </c>
      <c r="F9" s="26" t="s">
        <v>701</v>
      </c>
      <c r="G9" s="25" t="s">
        <v>100</v>
      </c>
      <c r="H9" s="24"/>
      <c r="I9" s="94"/>
      <c r="J9" s="95" t="s">
        <v>85</v>
      </c>
      <c r="K9" s="133" t="s">
        <v>179</v>
      </c>
      <c r="L9" s="136" t="s">
        <v>702</v>
      </c>
    </row>
    <row r="10" spans="1:13">
      <c r="K10" s="133"/>
      <c r="L10" s="136"/>
    </row>
    <row r="11" spans="1:13">
      <c r="K11" s="133"/>
      <c r="L11" s="136"/>
    </row>
    <row r="12" spans="1:13">
      <c r="K12" s="133"/>
      <c r="L12" s="136"/>
    </row>
    <row r="13" spans="1:13">
      <c r="K13" s="133"/>
      <c r="L13" s="136"/>
    </row>
    <row r="14" spans="1:13">
      <c r="K14" s="133"/>
      <c r="L14" s="136"/>
    </row>
    <row r="15" spans="1:13">
      <c r="K15" s="133"/>
      <c r="L15" s="136"/>
    </row>
    <row r="16" spans="1:13">
      <c r="K16" s="133"/>
      <c r="L16" s="136"/>
    </row>
    <row r="17" spans="11:12">
      <c r="K17" s="133"/>
      <c r="L17" s="151"/>
    </row>
    <row r="18" spans="11:12">
      <c r="K18" s="133"/>
      <c r="L18" s="136"/>
    </row>
    <row r="19" spans="11:12">
      <c r="K19" s="133"/>
      <c r="L19" s="136"/>
    </row>
    <row r="20" spans="11:12">
      <c r="K20" s="133"/>
      <c r="L20" s="136"/>
    </row>
    <row r="21" spans="11:12">
      <c r="K21" s="133"/>
      <c r="L21" s="136"/>
    </row>
    <row r="22" spans="11:12">
      <c r="K22" s="133"/>
      <c r="L22" s="136"/>
    </row>
    <row r="23" spans="11:12">
      <c r="K23" s="133"/>
      <c r="L23" s="136"/>
    </row>
    <row r="24" spans="11:12">
      <c r="K24" s="133"/>
      <c r="L24" s="136"/>
    </row>
    <row r="25" spans="11:12">
      <c r="K25" s="133"/>
      <c r="L25" s="136"/>
    </row>
    <row r="26" spans="11:12">
      <c r="K26" s="133"/>
      <c r="L26" s="136"/>
    </row>
    <row r="27" spans="11:12">
      <c r="K27" s="133"/>
      <c r="L27" s="136"/>
    </row>
    <row r="28" spans="11:12">
      <c r="K28" s="133"/>
      <c r="L28" s="136"/>
    </row>
    <row r="29" spans="11:12">
      <c r="K29" s="133"/>
      <c r="L29" s="136"/>
    </row>
    <row r="30" spans="11:12">
      <c r="K30" s="133"/>
      <c r="L30" s="136"/>
    </row>
    <row r="31" spans="11:12">
      <c r="K31" s="133"/>
      <c r="L31" s="136"/>
    </row>
    <row r="32" spans="11:12">
      <c r="K32" s="133"/>
      <c r="L32" s="136"/>
    </row>
    <row r="33" spans="11:11">
      <c r="K33" s="133"/>
    </row>
    <row r="34" spans="11:11">
      <c r="K34" s="133"/>
    </row>
    <row r="35" spans="11:11">
      <c r="K35" s="133"/>
    </row>
    <row r="36" spans="11:11">
      <c r="K36" s="133"/>
    </row>
    <row r="37" spans="11:11">
      <c r="K37" s="133"/>
    </row>
    <row r="38" spans="11:11">
      <c r="K38" s="133"/>
    </row>
    <row r="39" spans="11:11">
      <c r="K39" s="133"/>
    </row>
    <row r="40" spans="11:11">
      <c r="K40" s="133"/>
    </row>
    <row r="41" spans="11:11">
      <c r="K41" s="133"/>
    </row>
    <row r="42" spans="11:11">
      <c r="K42" s="133"/>
    </row>
    <row r="43" spans="11:11">
      <c r="K43" s="133"/>
    </row>
    <row r="44" spans="11:11">
      <c r="K44" s="133"/>
    </row>
    <row r="45" spans="11:11">
      <c r="K45" s="133"/>
    </row>
    <row r="46" spans="11:11">
      <c r="K46" s="133"/>
    </row>
    <row r="47" spans="11:11">
      <c r="K47" s="133"/>
    </row>
    <row r="48" spans="11:11">
      <c r="K48" s="133"/>
    </row>
    <row r="49" spans="11:12">
      <c r="K49" s="133"/>
      <c r="L49" s="136"/>
    </row>
    <row r="50" spans="11:12">
      <c r="K50" s="133"/>
      <c r="L50" s="136"/>
    </row>
    <row r="51" spans="11:12">
      <c r="K51" s="133"/>
      <c r="L51" s="136"/>
    </row>
    <row r="52" spans="11:12">
      <c r="K52" s="133"/>
      <c r="L52" s="136"/>
    </row>
    <row r="53" spans="11:12">
      <c r="K53" s="133"/>
      <c r="L53" s="136"/>
    </row>
    <row r="54" spans="11:12">
      <c r="K54" s="133"/>
      <c r="L54" s="136"/>
    </row>
    <row r="55" spans="11:12">
      <c r="K55" s="133"/>
      <c r="L55" s="151"/>
    </row>
    <row r="56" spans="11:12">
      <c r="K56" s="133"/>
      <c r="L56" s="151"/>
    </row>
    <row r="57" spans="11:12">
      <c r="K57" s="133"/>
      <c r="L57" s="151"/>
    </row>
    <row r="58" spans="11:12">
      <c r="K58" s="133"/>
      <c r="L58" s="151"/>
    </row>
    <row r="59" spans="11:12">
      <c r="K59" s="133"/>
      <c r="L59" s="151"/>
    </row>
    <row r="60" spans="11:12">
      <c r="K60" s="133"/>
      <c r="L60" s="151"/>
    </row>
    <row r="61" spans="11:12">
      <c r="K61" s="133"/>
      <c r="L61" s="151"/>
    </row>
    <row r="62" spans="11:12">
      <c r="K62" s="133"/>
      <c r="L62" s="151"/>
    </row>
    <row r="63" spans="11:12">
      <c r="K63" s="133"/>
      <c r="L63" s="151"/>
    </row>
    <row r="64" spans="11:12">
      <c r="K64" s="133"/>
      <c r="L64" s="151"/>
    </row>
    <row r="65" spans="11:12">
      <c r="K65" s="133"/>
      <c r="L65" s="151"/>
    </row>
    <row r="66" spans="11:12">
      <c r="K66" s="133"/>
      <c r="L66" s="151"/>
    </row>
    <row r="67" spans="11:12">
      <c r="K67" s="133"/>
      <c r="L67" s="151"/>
    </row>
    <row r="68" spans="11:12">
      <c r="K68" s="133"/>
      <c r="L68" s="151"/>
    </row>
    <row r="69" spans="11:12">
      <c r="K69" s="133"/>
      <c r="L69" s="136"/>
    </row>
    <row r="70" spans="11:12">
      <c r="K70" s="133"/>
      <c r="L70" s="136"/>
    </row>
    <row r="71" spans="11:12">
      <c r="K71" s="133"/>
      <c r="L71" s="136"/>
    </row>
    <row r="72" spans="11:12">
      <c r="K72" s="133"/>
      <c r="L72" s="136"/>
    </row>
    <row r="73" spans="11:12">
      <c r="K73" s="133"/>
      <c r="L73" s="136"/>
    </row>
    <row r="74" spans="11:12">
      <c r="K74" s="133"/>
      <c r="L74" s="136"/>
    </row>
    <row r="75" spans="11:12">
      <c r="K75" s="133"/>
      <c r="L75" s="136"/>
    </row>
    <row r="76" spans="11:12">
      <c r="K76" s="133"/>
      <c r="L76" s="136"/>
    </row>
    <row r="77" spans="11:12">
      <c r="K77" s="133"/>
      <c r="L77" s="136"/>
    </row>
    <row r="78" spans="11:12">
      <c r="K78" s="133"/>
      <c r="L78" s="136"/>
    </row>
    <row r="79" spans="11:12">
      <c r="K79" s="133"/>
      <c r="L79" s="136"/>
    </row>
    <row r="80" spans="11:12">
      <c r="K80" s="133"/>
      <c r="L80" s="136"/>
    </row>
    <row r="81" spans="11:11">
      <c r="K81" s="133"/>
    </row>
    <row r="82" spans="11:11">
      <c r="K82" s="133"/>
    </row>
    <row r="83" spans="11:11">
      <c r="K83" s="133"/>
    </row>
    <row r="84" spans="11:11">
      <c r="K84" s="133"/>
    </row>
    <row r="85" spans="11:11">
      <c r="K85" s="133"/>
    </row>
    <row r="86" spans="11:11">
      <c r="K86" s="133"/>
    </row>
    <row r="87" spans="11:11">
      <c r="K87" s="133"/>
    </row>
    <row r="88" spans="11:11">
      <c r="K88" s="133"/>
    </row>
    <row r="89" spans="11:11">
      <c r="K89" s="133"/>
    </row>
    <row r="90" spans="11:11">
      <c r="K90" s="133"/>
    </row>
    <row r="91" spans="11:11">
      <c r="K91" s="133"/>
    </row>
    <row r="92" spans="11:11">
      <c r="K92" s="133"/>
    </row>
    <row r="93" spans="11:11">
      <c r="K93" s="133"/>
    </row>
    <row r="94" spans="11:11">
      <c r="K94" s="133"/>
    </row>
    <row r="95" spans="11:11">
      <c r="K95" s="133"/>
    </row>
    <row r="96" spans="11:11">
      <c r="K96" s="133"/>
    </row>
    <row r="97" spans="11:12">
      <c r="K97" s="133"/>
      <c r="L97" s="136"/>
    </row>
    <row r="98" spans="11:12">
      <c r="K98" s="133"/>
      <c r="L98" s="136"/>
    </row>
    <row r="99" spans="11:12">
      <c r="K99" s="133"/>
      <c r="L99" s="136"/>
    </row>
    <row r="100" spans="11:12">
      <c r="K100" s="133"/>
      <c r="L100" s="136"/>
    </row>
    <row r="101" spans="11:12">
      <c r="K101" s="133"/>
      <c r="L101" s="136"/>
    </row>
    <row r="102" spans="11:12">
      <c r="K102" s="133"/>
      <c r="L102" s="151"/>
    </row>
    <row r="103" spans="11:12">
      <c r="K103" s="133"/>
      <c r="L103" s="136"/>
    </row>
    <row r="104" spans="11:12">
      <c r="K104" s="133"/>
      <c r="L104" s="136"/>
    </row>
    <row r="105" spans="11:12">
      <c r="K105" s="133"/>
      <c r="L105" s="136"/>
    </row>
    <row r="106" spans="11:12">
      <c r="K106" s="133"/>
      <c r="L106" s="136"/>
    </row>
    <row r="107" spans="11:12">
      <c r="K107" s="133"/>
      <c r="L107" s="136"/>
    </row>
    <row r="108" spans="11:12">
      <c r="K108" s="133"/>
      <c r="L108" s="136"/>
    </row>
    <row r="109" spans="11:12">
      <c r="K109" s="133"/>
      <c r="L109" s="136"/>
    </row>
    <row r="110" spans="11:12">
      <c r="K110" s="133"/>
      <c r="L110" s="136"/>
    </row>
    <row r="111" spans="11:12">
      <c r="K111" s="133"/>
      <c r="L111" s="136"/>
    </row>
    <row r="112" spans="11:12">
      <c r="K112" s="133"/>
      <c r="L112" s="136"/>
    </row>
    <row r="113" spans="11:11">
      <c r="K113" s="133"/>
    </row>
    <row r="114" spans="11:11">
      <c r="K114" s="133"/>
    </row>
  </sheetData>
  <sheetProtection formatCells="0" formatColumns="0" formatRows="0" insertColumns="0" insertRows="0" insertHyperlinks="0" deleteColumns="0" deleteRows="0" sort="0" autoFilter="0" pivotTables="0"/>
  <mergeCells count="2">
    <mergeCell ref="A1:J1"/>
    <mergeCell ref="B3:F3"/>
  </mergeCells>
  <phoneticPr fontId="25" type="noConversion"/>
  <conditionalFormatting sqref="H1:H1048576">
    <cfRule type="cellIs" dxfId="35" priority="1" operator="equal">
      <formula>"N/A"</formula>
    </cfRule>
    <cfRule type="cellIs" dxfId="34" priority="2" operator="equal">
      <formula>"Fail"</formula>
    </cfRule>
  </conditionalFormatting>
  <conditionalFormatting sqref="H4:H100">
    <cfRule type="cellIs" dxfId="33" priority="3" operator="equal">
      <formula>"Pass"</formula>
    </cfRule>
  </conditionalFormatting>
  <dataValidations count="3">
    <dataValidation type="list" allowBlank="1" showErrorMessage="1" errorTitle="错误提示" error="请输入下拉列表中的值" sqref="G5:G9" xr:uid="{00000000-0002-0000-0300-000000000000}">
      <formula1>"P0,P1,P2"</formula1>
    </dataValidation>
    <dataValidation type="list" allowBlank="1" showInputMessage="1" showErrorMessage="1" errorTitle="错误提示" error="请输入下拉列表中的值" sqref="H5:H9" xr:uid="{00000000-0002-0000-0300-000001000000}">
      <formula1>"Pass,Fail,N/A"</formula1>
    </dataValidation>
    <dataValidation type="list" allowBlank="1" showInputMessage="1" showErrorMessage="1" sqref="K5:K114" xr:uid="{A59E10EF-1D6F-6945-A4A6-EBAB0BDF58E4}">
      <formula1>"Yes,No,Todo"</formula1>
    </dataValidation>
  </dataValidations>
  <pageMargins left="0.75" right="0.75" top="1" bottom="1" header="0.5" footer="0.5"/>
  <pageSetup paperSize="9" scale="68"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X114"/>
  <sheetViews>
    <sheetView view="pageBreakPreview" topLeftCell="B1" zoomScaleNormal="100" workbookViewId="0">
      <pane ySplit="4" topLeftCell="R5" activePane="bottomLeft" state="frozen"/>
      <selection pane="bottomLeft" activeCell="R1" sqref="R1"/>
    </sheetView>
  </sheetViews>
  <sheetFormatPr defaultColWidth="9" defaultRowHeight="11.25" customHeight="1"/>
  <cols>
    <col min="1" max="1" width="12.125" style="96" customWidth="1"/>
    <col min="2" max="2" width="13" style="97" customWidth="1"/>
    <col min="3" max="3" width="12.125" style="98" customWidth="1"/>
    <col min="4" max="4" width="11.125" style="97" customWidth="1"/>
    <col min="5" max="5" width="7" style="97" customWidth="1"/>
    <col min="6" max="6" width="8" style="97" customWidth="1"/>
    <col min="7" max="7" width="5.625" style="97" customWidth="1"/>
    <col min="8" max="8" width="4.5" style="97" customWidth="1"/>
    <col min="9" max="9" width="6.125" style="99" customWidth="1"/>
    <col min="10" max="10" width="8.125" style="97" customWidth="1"/>
    <col min="11" max="11" width="9.375" style="99" customWidth="1"/>
    <col min="12" max="12" width="6.875" style="97" customWidth="1"/>
    <col min="13" max="13" width="6" style="97" customWidth="1"/>
    <col min="14" max="14" width="8" style="97" customWidth="1"/>
    <col min="15" max="15" width="6.5" style="97" customWidth="1"/>
    <col min="16" max="16" width="18.875" style="97" customWidth="1"/>
    <col min="17" max="17" width="16" style="97" customWidth="1"/>
    <col min="18" max="18" width="12.5" style="57" bestFit="1" customWidth="1"/>
    <col min="19" max="19" width="34.5" style="57" customWidth="1"/>
    <col min="20" max="20" width="9" style="97" customWidth="1"/>
    <col min="21" max="21" width="17.125" style="97" customWidth="1"/>
    <col min="22" max="258" width="9" style="97" customWidth="1"/>
    <col min="259" max="16384" width="9" style="96"/>
  </cols>
  <sheetData>
    <row r="1" spans="1:20" ht="32.25" customHeight="1">
      <c r="A1" s="172" t="s">
        <v>712</v>
      </c>
      <c r="B1" s="172"/>
      <c r="C1" s="172"/>
      <c r="D1" s="172"/>
      <c r="E1" s="172"/>
      <c r="F1" s="172"/>
      <c r="G1" s="172"/>
      <c r="H1" s="172"/>
      <c r="I1" s="172"/>
      <c r="J1" s="172"/>
      <c r="K1" s="172"/>
      <c r="L1" s="172"/>
      <c r="M1" s="172"/>
      <c r="N1" s="172"/>
      <c r="O1" s="172"/>
      <c r="P1" s="172"/>
      <c r="Q1" s="172"/>
      <c r="R1" s="136"/>
      <c r="S1" s="136"/>
    </row>
    <row r="2" spans="1:20" ht="31.5" customHeight="1">
      <c r="A2" s="12" t="s">
        <v>60</v>
      </c>
      <c r="B2" s="13" t="str">
        <f>IF(Summary!B3="","",Summary!B3)</f>
        <v/>
      </c>
      <c r="C2" s="100" t="s">
        <v>61</v>
      </c>
      <c r="D2" s="101" t="str">
        <f>IF(Summary!B4="","",Summary!B4)</f>
        <v/>
      </c>
      <c r="E2" s="12" t="s">
        <v>8</v>
      </c>
      <c r="F2" s="205" t="str">
        <f>IF(Summary!B8="","",Summary!B8)</f>
        <v/>
      </c>
      <c r="G2" s="205"/>
      <c r="H2" s="205"/>
      <c r="I2" s="206"/>
      <c r="J2" s="205"/>
      <c r="K2" s="206"/>
      <c r="L2" s="205"/>
      <c r="M2" s="205"/>
      <c r="N2" s="15" t="s">
        <v>11</v>
      </c>
      <c r="O2" s="15" t="s">
        <v>12</v>
      </c>
      <c r="P2" s="16" t="s">
        <v>13</v>
      </c>
      <c r="Q2" s="15" t="s">
        <v>14</v>
      </c>
      <c r="R2" s="136"/>
      <c r="S2" s="136"/>
    </row>
    <row r="3" spans="1:20" ht="55.5" customHeight="1">
      <c r="A3" s="16" t="s">
        <v>62</v>
      </c>
      <c r="B3" s="207" t="s">
        <v>713</v>
      </c>
      <c r="C3" s="207"/>
      <c r="D3" s="207"/>
      <c r="E3" s="207"/>
      <c r="F3" s="207"/>
      <c r="G3" s="207"/>
      <c r="H3" s="207"/>
      <c r="I3" s="208"/>
      <c r="J3" s="207"/>
      <c r="K3" s="208"/>
      <c r="L3" s="207"/>
      <c r="M3" s="207"/>
      <c r="N3" s="17">
        <f>COUNTIFS(A:A,"*")-4</f>
        <v>40</v>
      </c>
      <c r="O3" s="17">
        <f>COUNTIFS($K4:$K488,O2)</f>
        <v>20</v>
      </c>
      <c r="P3" s="17">
        <f>COUNTIFS($K4:$K488,P2)</f>
        <v>0</v>
      </c>
      <c r="Q3" s="17">
        <f>COUNTIFS($K4:$K488,Q2)</f>
        <v>20</v>
      </c>
      <c r="R3" s="136"/>
      <c r="S3"/>
    </row>
    <row r="4" spans="1:20" ht="27" customHeight="1">
      <c r="A4" s="134" t="s">
        <v>63</v>
      </c>
      <c r="B4" s="148" t="s">
        <v>64</v>
      </c>
      <c r="C4" s="134" t="s">
        <v>714</v>
      </c>
      <c r="D4" s="134" t="s">
        <v>66</v>
      </c>
      <c r="E4" s="102" t="s">
        <v>715</v>
      </c>
      <c r="F4" s="103" t="s">
        <v>716</v>
      </c>
      <c r="G4" s="134" t="s">
        <v>717</v>
      </c>
      <c r="H4" s="102" t="s">
        <v>718</v>
      </c>
      <c r="I4" s="102" t="s">
        <v>48</v>
      </c>
      <c r="J4" s="134" t="s">
        <v>719</v>
      </c>
      <c r="K4" s="134" t="s">
        <v>69</v>
      </c>
      <c r="L4" s="134" t="s">
        <v>720</v>
      </c>
      <c r="M4" s="134" t="s">
        <v>721</v>
      </c>
      <c r="N4" s="134" t="s">
        <v>722</v>
      </c>
      <c r="O4" s="134" t="s">
        <v>723</v>
      </c>
      <c r="P4" s="134" t="s">
        <v>724</v>
      </c>
      <c r="Q4" s="134" t="s">
        <v>70</v>
      </c>
      <c r="R4" s="132" t="s">
        <v>74</v>
      </c>
      <c r="S4" s="132" t="s">
        <v>725</v>
      </c>
    </row>
    <row r="5" spans="1:20" ht="11.25" customHeight="1">
      <c r="A5" s="149" t="s">
        <v>726</v>
      </c>
      <c r="B5" s="201" t="s">
        <v>727</v>
      </c>
      <c r="C5" s="203" t="s">
        <v>728</v>
      </c>
      <c r="D5" s="209" t="s">
        <v>729</v>
      </c>
      <c r="E5" s="202" t="s">
        <v>730</v>
      </c>
      <c r="F5" s="201" t="s">
        <v>731</v>
      </c>
      <c r="G5" s="201" t="s">
        <v>732</v>
      </c>
      <c r="H5" s="105">
        <v>1</v>
      </c>
      <c r="I5" s="150" t="s">
        <v>84</v>
      </c>
      <c r="J5" s="105">
        <v>200</v>
      </c>
      <c r="K5" s="104" t="s">
        <v>12</v>
      </c>
      <c r="L5" s="105"/>
      <c r="M5" s="106">
        <v>228</v>
      </c>
      <c r="N5" s="106">
        <v>228</v>
      </c>
      <c r="O5" s="106">
        <v>227</v>
      </c>
      <c r="P5" s="105"/>
      <c r="Q5" s="105"/>
      <c r="R5" s="199" t="s">
        <v>179</v>
      </c>
      <c r="S5" s="199" t="s">
        <v>733</v>
      </c>
      <c r="T5" s="97" t="s">
        <v>703</v>
      </c>
    </row>
    <row r="6" spans="1:20" ht="11.25" customHeight="1">
      <c r="A6" s="149" t="s">
        <v>734</v>
      </c>
      <c r="B6" s="201"/>
      <c r="C6" s="203"/>
      <c r="D6" s="210"/>
      <c r="E6" s="202"/>
      <c r="F6" s="201"/>
      <c r="G6" s="201"/>
      <c r="H6" s="105">
        <v>6</v>
      </c>
      <c r="I6" s="150" t="s">
        <v>84</v>
      </c>
      <c r="J6" s="105">
        <v>200</v>
      </c>
      <c r="K6" s="104" t="s">
        <v>12</v>
      </c>
      <c r="L6" s="105"/>
      <c r="M6" s="106">
        <v>219</v>
      </c>
      <c r="N6" s="106">
        <v>215</v>
      </c>
      <c r="O6" s="106">
        <v>221</v>
      </c>
      <c r="P6" s="105"/>
      <c r="Q6" s="105"/>
      <c r="R6" s="200"/>
      <c r="S6" s="200"/>
    </row>
    <row r="7" spans="1:20" ht="11.25" customHeight="1">
      <c r="A7" s="149" t="s">
        <v>735</v>
      </c>
      <c r="B7" s="201"/>
      <c r="C7" s="203"/>
      <c r="D7" s="210"/>
      <c r="E7" s="202"/>
      <c r="F7" s="201"/>
      <c r="G7" s="201"/>
      <c r="H7" s="105">
        <v>11</v>
      </c>
      <c r="I7" s="150" t="s">
        <v>84</v>
      </c>
      <c r="J7" s="105">
        <v>200</v>
      </c>
      <c r="K7" s="104" t="s">
        <v>12</v>
      </c>
      <c r="L7" s="105"/>
      <c r="M7" s="106">
        <v>231</v>
      </c>
      <c r="N7" s="106">
        <v>232</v>
      </c>
      <c r="O7" s="106">
        <v>226</v>
      </c>
      <c r="P7" s="105"/>
      <c r="Q7" s="105"/>
      <c r="R7" s="200"/>
      <c r="S7" s="200"/>
    </row>
    <row r="8" spans="1:20" ht="11.25" customHeight="1">
      <c r="A8" s="149" t="s">
        <v>736</v>
      </c>
      <c r="B8" s="201"/>
      <c r="C8" s="203"/>
      <c r="D8" s="210"/>
      <c r="E8" s="202"/>
      <c r="F8" s="201"/>
      <c r="G8" s="201" t="s">
        <v>737</v>
      </c>
      <c r="H8" s="105">
        <v>1</v>
      </c>
      <c r="I8" s="150" t="s">
        <v>84</v>
      </c>
      <c r="J8" s="105">
        <v>200</v>
      </c>
      <c r="K8" s="104" t="s">
        <v>12</v>
      </c>
      <c r="L8" s="105"/>
      <c r="M8" s="106">
        <v>223</v>
      </c>
      <c r="N8" s="106">
        <v>218</v>
      </c>
      <c r="O8" s="106">
        <v>219</v>
      </c>
      <c r="P8" s="105"/>
      <c r="Q8" s="105"/>
      <c r="R8" s="200"/>
      <c r="S8" s="200"/>
    </row>
    <row r="9" spans="1:20" ht="11.25" customHeight="1">
      <c r="A9" s="149" t="s">
        <v>738</v>
      </c>
      <c r="B9" s="201"/>
      <c r="C9" s="203"/>
      <c r="D9" s="210"/>
      <c r="E9" s="202"/>
      <c r="F9" s="201"/>
      <c r="G9" s="201"/>
      <c r="H9" s="105">
        <v>6</v>
      </c>
      <c r="I9" s="150" t="s">
        <v>84</v>
      </c>
      <c r="J9" s="105">
        <v>200</v>
      </c>
      <c r="K9" s="104" t="s">
        <v>12</v>
      </c>
      <c r="L9" s="105"/>
      <c r="M9" s="106">
        <v>229</v>
      </c>
      <c r="N9" s="106">
        <v>229</v>
      </c>
      <c r="O9" s="106">
        <v>230</v>
      </c>
      <c r="P9" s="105"/>
      <c r="Q9" s="105"/>
      <c r="R9" s="200"/>
      <c r="S9" s="200"/>
    </row>
    <row r="10" spans="1:20" ht="11.25" customHeight="1">
      <c r="A10" s="149" t="s">
        <v>739</v>
      </c>
      <c r="B10" s="201"/>
      <c r="C10" s="203"/>
      <c r="D10" s="210"/>
      <c r="E10" s="202"/>
      <c r="F10" s="201"/>
      <c r="G10" s="201"/>
      <c r="H10" s="105">
        <v>11</v>
      </c>
      <c r="I10" s="150" t="s">
        <v>84</v>
      </c>
      <c r="J10" s="105">
        <v>200</v>
      </c>
      <c r="K10" s="104" t="s">
        <v>12</v>
      </c>
      <c r="L10" s="105"/>
      <c r="M10" s="106">
        <v>233</v>
      </c>
      <c r="N10" s="106">
        <v>229</v>
      </c>
      <c r="O10" s="106">
        <v>231</v>
      </c>
      <c r="P10" s="105"/>
      <c r="Q10" s="105"/>
      <c r="R10" s="200"/>
      <c r="S10" s="200"/>
    </row>
    <row r="11" spans="1:20" ht="11.25" customHeight="1">
      <c r="A11" s="149" t="s">
        <v>740</v>
      </c>
      <c r="B11" s="201"/>
      <c r="C11" s="203"/>
      <c r="D11" s="210"/>
      <c r="E11" s="202"/>
      <c r="F11" s="201" t="s">
        <v>741</v>
      </c>
      <c r="G11" s="201" t="s">
        <v>732</v>
      </c>
      <c r="H11" s="105">
        <v>1</v>
      </c>
      <c r="I11" s="150" t="s">
        <v>84</v>
      </c>
      <c r="J11" s="105">
        <v>400</v>
      </c>
      <c r="K11" s="104" t="s">
        <v>12</v>
      </c>
      <c r="L11" s="105"/>
      <c r="M11" s="106">
        <v>457</v>
      </c>
      <c r="N11" s="106">
        <v>453</v>
      </c>
      <c r="O11" s="106">
        <v>456</v>
      </c>
      <c r="P11" s="105"/>
      <c r="Q11" s="105"/>
      <c r="R11" s="200"/>
      <c r="S11" s="200"/>
    </row>
    <row r="12" spans="1:20" ht="11.25" customHeight="1">
      <c r="A12" s="149" t="s">
        <v>742</v>
      </c>
      <c r="B12" s="201"/>
      <c r="C12" s="203"/>
      <c r="D12" s="210"/>
      <c r="E12" s="202"/>
      <c r="F12" s="201"/>
      <c r="G12" s="201"/>
      <c r="H12" s="105">
        <v>6</v>
      </c>
      <c r="I12" s="150" t="s">
        <v>84</v>
      </c>
      <c r="J12" s="105">
        <v>400</v>
      </c>
      <c r="K12" s="104" t="s">
        <v>12</v>
      </c>
      <c r="L12" s="105"/>
      <c r="M12" s="106">
        <v>431</v>
      </c>
      <c r="N12" s="106">
        <v>415</v>
      </c>
      <c r="O12" s="106">
        <v>421</v>
      </c>
      <c r="P12" s="105"/>
      <c r="Q12" s="105"/>
      <c r="R12" s="200"/>
      <c r="S12" s="200"/>
    </row>
    <row r="13" spans="1:20" ht="11.25" customHeight="1">
      <c r="A13" s="149" t="s">
        <v>743</v>
      </c>
      <c r="B13" s="201"/>
      <c r="C13" s="203"/>
      <c r="D13" s="210"/>
      <c r="E13" s="202"/>
      <c r="F13" s="201"/>
      <c r="G13" s="201"/>
      <c r="H13" s="105">
        <v>11</v>
      </c>
      <c r="I13" s="150" t="s">
        <v>84</v>
      </c>
      <c r="J13" s="105">
        <v>400</v>
      </c>
      <c r="K13" s="104" t="s">
        <v>12</v>
      </c>
      <c r="L13" s="105"/>
      <c r="M13" s="106">
        <v>413</v>
      </c>
      <c r="N13" s="106">
        <v>415</v>
      </c>
      <c r="O13" s="106">
        <v>413</v>
      </c>
      <c r="P13" s="105"/>
      <c r="Q13" s="105"/>
      <c r="R13" s="200"/>
      <c r="S13" s="200"/>
    </row>
    <row r="14" spans="1:20" ht="11.25" customHeight="1">
      <c r="A14" s="149" t="s">
        <v>744</v>
      </c>
      <c r="B14" s="201"/>
      <c r="C14" s="203"/>
      <c r="D14" s="210"/>
      <c r="E14" s="202"/>
      <c r="F14" s="201"/>
      <c r="G14" s="201" t="s">
        <v>737</v>
      </c>
      <c r="H14" s="105">
        <v>1</v>
      </c>
      <c r="I14" s="150" t="s">
        <v>84</v>
      </c>
      <c r="J14" s="105">
        <v>400</v>
      </c>
      <c r="K14" s="104" t="s">
        <v>12</v>
      </c>
      <c r="L14" s="105"/>
      <c r="M14" s="106">
        <v>403</v>
      </c>
      <c r="N14" s="106">
        <v>402</v>
      </c>
      <c r="O14" s="106">
        <v>403</v>
      </c>
      <c r="P14" s="105"/>
      <c r="Q14" s="105"/>
      <c r="R14" s="200"/>
      <c r="S14" s="200"/>
    </row>
    <row r="15" spans="1:20" ht="11.25" customHeight="1">
      <c r="A15" s="149" t="s">
        <v>745</v>
      </c>
      <c r="B15" s="201"/>
      <c r="C15" s="203"/>
      <c r="D15" s="210"/>
      <c r="E15" s="202"/>
      <c r="F15" s="201"/>
      <c r="G15" s="201"/>
      <c r="H15" s="105">
        <v>6</v>
      </c>
      <c r="I15" s="150" t="s">
        <v>84</v>
      </c>
      <c r="J15" s="105">
        <v>400</v>
      </c>
      <c r="K15" s="104" t="s">
        <v>12</v>
      </c>
      <c r="L15" s="105"/>
      <c r="M15" s="106">
        <v>401</v>
      </c>
      <c r="N15" s="106">
        <v>410</v>
      </c>
      <c r="O15" s="106">
        <v>407</v>
      </c>
      <c r="P15"/>
      <c r="Q15"/>
      <c r="R15" s="200"/>
      <c r="S15" s="200"/>
    </row>
    <row r="16" spans="1:20" ht="11.25" customHeight="1">
      <c r="A16" s="149" t="s">
        <v>746</v>
      </c>
      <c r="B16" s="201"/>
      <c r="C16" s="203"/>
      <c r="D16" s="210"/>
      <c r="E16" s="202"/>
      <c r="F16" s="201"/>
      <c r="G16" s="201"/>
      <c r="H16" s="105">
        <v>11</v>
      </c>
      <c r="I16" s="150" t="s">
        <v>84</v>
      </c>
      <c r="J16" s="105">
        <v>400</v>
      </c>
      <c r="K16" s="104" t="s">
        <v>12</v>
      </c>
      <c r="L16" s="105"/>
      <c r="M16" s="106">
        <v>408</v>
      </c>
      <c r="N16" s="106">
        <v>405</v>
      </c>
      <c r="O16" s="106">
        <v>408</v>
      </c>
      <c r="P16"/>
      <c r="Q16"/>
      <c r="R16" s="200"/>
      <c r="S16" s="200"/>
    </row>
    <row r="17" spans="1:19" ht="11.25" customHeight="1">
      <c r="A17" s="149" t="s">
        <v>747</v>
      </c>
      <c r="B17" s="201"/>
      <c r="C17" s="203" t="s">
        <v>748</v>
      </c>
      <c r="D17" s="210"/>
      <c r="E17" s="202"/>
      <c r="F17" s="201" t="s">
        <v>741</v>
      </c>
      <c r="G17" s="201" t="s">
        <v>732</v>
      </c>
      <c r="H17" s="105">
        <v>1</v>
      </c>
      <c r="I17" s="150" t="s">
        <v>703</v>
      </c>
      <c r="J17"/>
      <c r="K17" s="104" t="s">
        <v>12</v>
      </c>
      <c r="L17" s="105"/>
      <c r="M17" s="105">
        <v>64.8</v>
      </c>
      <c r="N17" s="105">
        <v>81.2</v>
      </c>
      <c r="O17" s="105">
        <v>55.9</v>
      </c>
      <c r="P17"/>
      <c r="Q17"/>
      <c r="R17" s="200"/>
      <c r="S17" s="200"/>
    </row>
    <row r="18" spans="1:19" ht="11.25" customHeight="1">
      <c r="A18" s="149" t="s">
        <v>749</v>
      </c>
      <c r="B18" s="201"/>
      <c r="C18" s="204"/>
      <c r="D18" s="210"/>
      <c r="E18" s="202"/>
      <c r="F18" s="201"/>
      <c r="G18" s="201"/>
      <c r="H18" s="105">
        <v>6</v>
      </c>
      <c r="I18" s="150" t="s">
        <v>703</v>
      </c>
      <c r="J18"/>
      <c r="K18" s="104" t="s">
        <v>12</v>
      </c>
      <c r="L18" s="105"/>
      <c r="M18" s="105">
        <v>78.3</v>
      </c>
      <c r="N18" s="105">
        <v>78.2</v>
      </c>
      <c r="O18" s="105">
        <v>69.2</v>
      </c>
      <c r="P18"/>
      <c r="Q18"/>
      <c r="R18" s="200"/>
      <c r="S18" s="200"/>
    </row>
    <row r="19" spans="1:19" ht="11.25" customHeight="1">
      <c r="A19" s="149" t="s">
        <v>750</v>
      </c>
      <c r="B19" s="201"/>
      <c r="C19" s="204"/>
      <c r="D19" s="210"/>
      <c r="E19" s="202"/>
      <c r="F19" s="201"/>
      <c r="G19" s="201"/>
      <c r="H19" s="105">
        <v>11</v>
      </c>
      <c r="I19" s="150" t="s">
        <v>703</v>
      </c>
      <c r="J19"/>
      <c r="K19" s="104" t="s">
        <v>12</v>
      </c>
      <c r="L19" s="105"/>
      <c r="M19" s="152">
        <v>66.400000000000006</v>
      </c>
      <c r="N19" s="105">
        <v>89.1</v>
      </c>
      <c r="O19" s="105">
        <v>64.099999999999994</v>
      </c>
      <c r="P19"/>
      <c r="Q19"/>
      <c r="R19" s="200"/>
      <c r="S19" s="200"/>
    </row>
    <row r="20" spans="1:19" ht="11.25" customHeight="1">
      <c r="A20" s="149" t="s">
        <v>751</v>
      </c>
      <c r="B20" s="201"/>
      <c r="C20" s="204"/>
      <c r="D20" s="210"/>
      <c r="E20" s="202"/>
      <c r="F20" s="201"/>
      <c r="G20" s="201" t="s">
        <v>737</v>
      </c>
      <c r="H20" s="105">
        <v>1</v>
      </c>
      <c r="I20" s="150" t="s">
        <v>703</v>
      </c>
      <c r="J20"/>
      <c r="K20" s="104" t="s">
        <v>12</v>
      </c>
      <c r="L20" s="105"/>
      <c r="M20" s="105">
        <v>56.6</v>
      </c>
      <c r="N20" s="105">
        <v>35.299999999999997</v>
      </c>
      <c r="O20" s="105">
        <v>41.5</v>
      </c>
      <c r="P20"/>
      <c r="Q20"/>
      <c r="R20" s="200"/>
      <c r="S20" s="200"/>
    </row>
    <row r="21" spans="1:19" ht="11.25" customHeight="1">
      <c r="A21" s="149" t="s">
        <v>752</v>
      </c>
      <c r="B21" s="201"/>
      <c r="C21" s="204"/>
      <c r="D21" s="210"/>
      <c r="E21" s="202"/>
      <c r="F21" s="201"/>
      <c r="G21" s="201"/>
      <c r="H21" s="105">
        <v>6</v>
      </c>
      <c r="I21" s="150" t="s">
        <v>703</v>
      </c>
      <c r="J21"/>
      <c r="K21" s="104" t="s">
        <v>12</v>
      </c>
      <c r="L21" s="105"/>
      <c r="M21" s="105">
        <v>44.1</v>
      </c>
      <c r="N21" s="105">
        <v>38.6</v>
      </c>
      <c r="O21" s="105">
        <v>35.5</v>
      </c>
      <c r="P21" s="105"/>
      <c r="Q21" s="105"/>
      <c r="R21" s="200"/>
      <c r="S21" s="200"/>
    </row>
    <row r="22" spans="1:19" ht="11.25" customHeight="1">
      <c r="A22" s="149" t="s">
        <v>753</v>
      </c>
      <c r="B22" s="201"/>
      <c r="C22" s="204"/>
      <c r="D22" s="210"/>
      <c r="E22" s="202"/>
      <c r="F22" s="201"/>
      <c r="G22" s="201"/>
      <c r="H22" s="105">
        <v>11</v>
      </c>
      <c r="I22" s="150" t="s">
        <v>703</v>
      </c>
      <c r="J22"/>
      <c r="K22" s="104" t="s">
        <v>12</v>
      </c>
      <c r="L22" s="105"/>
      <c r="M22" s="105">
        <v>45.6</v>
      </c>
      <c r="N22" s="105">
        <v>31.8</v>
      </c>
      <c r="O22" s="105">
        <v>28.9</v>
      </c>
      <c r="P22" s="105"/>
      <c r="Q22" s="105"/>
      <c r="R22" s="200"/>
      <c r="S22" s="200"/>
    </row>
    <row r="23" spans="1:19" ht="11.25" customHeight="1">
      <c r="A23" s="149" t="s">
        <v>754</v>
      </c>
      <c r="B23" s="203" t="s">
        <v>755</v>
      </c>
      <c r="C23" s="203" t="s">
        <v>728</v>
      </c>
      <c r="D23" s="209" t="s">
        <v>756</v>
      </c>
      <c r="E23" s="201" t="s">
        <v>730</v>
      </c>
      <c r="F23" s="201" t="s">
        <v>741</v>
      </c>
      <c r="G23" s="201" t="s">
        <v>732</v>
      </c>
      <c r="H23" s="105">
        <v>1</v>
      </c>
      <c r="I23" s="150" t="s">
        <v>84</v>
      </c>
      <c r="J23" s="105">
        <v>260</v>
      </c>
      <c r="K23" s="104" t="s">
        <v>12</v>
      </c>
      <c r="L23" s="105"/>
      <c r="M23" s="106">
        <v>337</v>
      </c>
      <c r="N23" s="106">
        <v>356</v>
      </c>
      <c r="O23" s="106">
        <v>364</v>
      </c>
      <c r="P23" s="105"/>
      <c r="Q23" s="105"/>
      <c r="R23" s="200"/>
      <c r="S23" s="200"/>
    </row>
    <row r="24" spans="1:19" ht="11.25" customHeight="1">
      <c r="A24" s="149" t="s">
        <v>757</v>
      </c>
      <c r="B24" s="203"/>
      <c r="C24" s="204"/>
      <c r="D24" s="211"/>
      <c r="E24" s="202"/>
      <c r="F24" s="201"/>
      <c r="G24" s="201"/>
      <c r="H24" s="105">
        <v>6</v>
      </c>
      <c r="I24" s="150" t="s">
        <v>84</v>
      </c>
      <c r="J24" s="105">
        <v>260</v>
      </c>
      <c r="K24" s="104" t="s">
        <v>12</v>
      </c>
      <c r="L24" s="105"/>
      <c r="M24" s="106">
        <v>338</v>
      </c>
      <c r="N24" s="106">
        <v>346</v>
      </c>
      <c r="O24" s="106">
        <v>346</v>
      </c>
      <c r="P24" s="105"/>
      <c r="Q24" s="105"/>
      <c r="R24" s="200"/>
      <c r="S24" s="200"/>
    </row>
    <row r="25" spans="1:19" ht="11.25" customHeight="1">
      <c r="A25" s="149" t="s">
        <v>758</v>
      </c>
      <c r="B25" s="203"/>
      <c r="C25" s="204"/>
      <c r="D25" s="211"/>
      <c r="E25" s="202"/>
      <c r="F25" s="201"/>
      <c r="G25" s="201"/>
      <c r="H25" s="105">
        <v>11</v>
      </c>
      <c r="I25" s="150" t="s">
        <v>84</v>
      </c>
      <c r="J25" s="105">
        <v>260</v>
      </c>
      <c r="K25" s="104" t="s">
        <v>14</v>
      </c>
      <c r="L25" s="105"/>
      <c r="M25" s="106"/>
      <c r="N25" s="106"/>
      <c r="O25" s="106"/>
      <c r="P25" s="105"/>
      <c r="Q25" s="105"/>
      <c r="R25" s="200"/>
      <c r="S25" s="200"/>
    </row>
    <row r="26" spans="1:19" ht="11.25" customHeight="1">
      <c r="A26" s="149" t="s">
        <v>759</v>
      </c>
      <c r="B26" s="203"/>
      <c r="C26" s="204"/>
      <c r="D26" s="211"/>
      <c r="E26" s="202"/>
      <c r="F26" s="201"/>
      <c r="G26" s="201" t="s">
        <v>737</v>
      </c>
      <c r="H26" s="105">
        <v>1</v>
      </c>
      <c r="I26" s="150" t="s">
        <v>84</v>
      </c>
      <c r="J26" s="105">
        <v>260</v>
      </c>
      <c r="K26" s="104" t="s">
        <v>14</v>
      </c>
      <c r="L26" s="105"/>
      <c r="M26" s="106"/>
      <c r="N26" s="106"/>
      <c r="O26" s="106"/>
      <c r="P26" s="105"/>
      <c r="Q26" s="105"/>
      <c r="R26" s="200"/>
      <c r="S26" s="200"/>
    </row>
    <row r="27" spans="1:19" ht="11.25" customHeight="1">
      <c r="A27" s="149" t="s">
        <v>760</v>
      </c>
      <c r="B27" s="203"/>
      <c r="C27" s="204"/>
      <c r="D27" s="211"/>
      <c r="E27" s="202"/>
      <c r="F27" s="201"/>
      <c r="G27" s="201"/>
      <c r="H27" s="105">
        <v>6</v>
      </c>
      <c r="I27" s="150" t="s">
        <v>84</v>
      </c>
      <c r="J27" s="105">
        <v>260</v>
      </c>
      <c r="K27" s="104" t="s">
        <v>14</v>
      </c>
      <c r="L27" s="105"/>
      <c r="M27" s="106"/>
      <c r="N27" s="106"/>
      <c r="O27" s="106"/>
      <c r="P27" s="105"/>
      <c r="Q27" s="105"/>
      <c r="R27" s="200"/>
      <c r="S27" s="200"/>
    </row>
    <row r="28" spans="1:19" ht="11.25" customHeight="1">
      <c r="A28" s="149" t="s">
        <v>761</v>
      </c>
      <c r="B28" s="203"/>
      <c r="C28" s="204"/>
      <c r="D28" s="211"/>
      <c r="E28" s="202"/>
      <c r="F28" s="201"/>
      <c r="G28" s="201"/>
      <c r="H28" s="105">
        <v>11</v>
      </c>
      <c r="I28" s="150" t="s">
        <v>84</v>
      </c>
      <c r="J28" s="105">
        <v>260</v>
      </c>
      <c r="K28" s="104" t="s">
        <v>14</v>
      </c>
      <c r="L28" s="105"/>
      <c r="M28" s="106"/>
      <c r="N28" s="106"/>
      <c r="O28" s="106"/>
      <c r="P28" s="105"/>
      <c r="Q28" s="105"/>
      <c r="R28" s="200"/>
      <c r="S28" s="200"/>
    </row>
    <row r="29" spans="1:19" ht="11.25" customHeight="1">
      <c r="A29" s="149" t="s">
        <v>762</v>
      </c>
      <c r="B29" s="203" t="s">
        <v>763</v>
      </c>
      <c r="C29" s="203" t="s">
        <v>728</v>
      </c>
      <c r="D29" s="203" t="s">
        <v>764</v>
      </c>
      <c r="E29" s="201" t="s">
        <v>730</v>
      </c>
      <c r="F29" s="201" t="s">
        <v>765</v>
      </c>
      <c r="G29" s="201" t="s">
        <v>732</v>
      </c>
      <c r="H29" s="106">
        <v>36</v>
      </c>
      <c r="I29" s="107" t="s">
        <v>84</v>
      </c>
      <c r="J29" s="106">
        <v>580</v>
      </c>
      <c r="K29" s="104" t="s">
        <v>14</v>
      </c>
      <c r="L29" s="105"/>
      <c r="M29" s="106"/>
      <c r="N29" s="106"/>
      <c r="O29" s="106"/>
      <c r="P29" s="105"/>
      <c r="Q29" s="105"/>
      <c r="R29" s="200"/>
      <c r="S29" s="200"/>
    </row>
    <row r="30" spans="1:19" ht="11.25" customHeight="1">
      <c r="A30" s="149" t="s">
        <v>766</v>
      </c>
      <c r="B30" s="202"/>
      <c r="C30" s="204"/>
      <c r="D30" s="201"/>
      <c r="E30" s="201"/>
      <c r="F30" s="202"/>
      <c r="G30" s="201"/>
      <c r="H30" s="106">
        <v>64</v>
      </c>
      <c r="I30" s="107" t="s">
        <v>84</v>
      </c>
      <c r="J30" s="106">
        <v>580</v>
      </c>
      <c r="K30" s="104" t="s">
        <v>14</v>
      </c>
      <c r="L30" s="105"/>
      <c r="M30" s="106"/>
      <c r="N30" s="106"/>
      <c r="O30" s="106"/>
      <c r="P30" s="105"/>
      <c r="Q30" s="105"/>
      <c r="R30" s="200"/>
      <c r="S30" s="200"/>
    </row>
    <row r="31" spans="1:19" ht="11.25" customHeight="1">
      <c r="A31" s="149" t="s">
        <v>767</v>
      </c>
      <c r="B31" s="202"/>
      <c r="C31" s="204"/>
      <c r="D31" s="201"/>
      <c r="E31" s="201"/>
      <c r="F31" s="202"/>
      <c r="G31" s="201"/>
      <c r="H31" s="106">
        <v>149</v>
      </c>
      <c r="I31" s="107" t="s">
        <v>84</v>
      </c>
      <c r="J31" s="106">
        <v>580</v>
      </c>
      <c r="K31" s="104" t="s">
        <v>14</v>
      </c>
      <c r="L31" s="105"/>
      <c r="M31" s="106"/>
      <c r="N31" s="106"/>
      <c r="O31" s="106"/>
      <c r="P31" s="105"/>
      <c r="Q31" s="105"/>
      <c r="R31" s="200"/>
      <c r="S31" s="200"/>
    </row>
    <row r="32" spans="1:19" ht="11.25" customHeight="1">
      <c r="A32" s="149" t="s">
        <v>768</v>
      </c>
      <c r="B32" s="202"/>
      <c r="C32" s="204"/>
      <c r="D32" s="201"/>
      <c r="E32" s="201"/>
      <c r="F32" s="202"/>
      <c r="G32" s="201"/>
      <c r="H32" s="106">
        <v>161</v>
      </c>
      <c r="I32" s="107" t="s">
        <v>84</v>
      </c>
      <c r="J32" s="106">
        <v>580</v>
      </c>
      <c r="K32" s="104" t="s">
        <v>14</v>
      </c>
      <c r="L32" s="105"/>
      <c r="M32" s="106"/>
      <c r="N32" s="106"/>
      <c r="O32" s="106"/>
      <c r="P32" s="105"/>
      <c r="Q32" s="105"/>
      <c r="R32" s="200"/>
      <c r="S32" s="200"/>
    </row>
    <row r="33" spans="1:19" ht="11.25" customHeight="1">
      <c r="A33" s="149" t="s">
        <v>769</v>
      </c>
      <c r="B33" s="202"/>
      <c r="C33" s="204"/>
      <c r="D33" s="201"/>
      <c r="E33" s="201"/>
      <c r="F33" s="201" t="s">
        <v>765</v>
      </c>
      <c r="G33" s="201" t="s">
        <v>737</v>
      </c>
      <c r="H33" s="106">
        <v>36</v>
      </c>
      <c r="I33" s="107" t="s">
        <v>84</v>
      </c>
      <c r="J33" s="106">
        <v>530</v>
      </c>
      <c r="K33" s="104" t="s">
        <v>14</v>
      </c>
      <c r="L33" s="105"/>
      <c r="M33" s="106"/>
      <c r="N33" s="106"/>
      <c r="O33" s="106"/>
      <c r="P33" s="105"/>
      <c r="Q33" s="105"/>
      <c r="R33" s="200"/>
      <c r="S33" s="200"/>
    </row>
    <row r="34" spans="1:19" ht="11.25" customHeight="1">
      <c r="A34" s="149" t="s">
        <v>770</v>
      </c>
      <c r="B34" s="202"/>
      <c r="C34" s="204"/>
      <c r="D34" s="201"/>
      <c r="E34" s="201"/>
      <c r="F34" s="202"/>
      <c r="G34" s="201"/>
      <c r="H34" s="106">
        <v>64</v>
      </c>
      <c r="I34" s="107" t="s">
        <v>84</v>
      </c>
      <c r="J34" s="106">
        <v>530</v>
      </c>
      <c r="K34" s="104" t="s">
        <v>14</v>
      </c>
      <c r="L34" s="105"/>
      <c r="M34" s="106"/>
      <c r="N34" s="106"/>
      <c r="O34" s="106"/>
      <c r="P34" s="105"/>
      <c r="Q34" s="105"/>
      <c r="R34" s="200"/>
      <c r="S34" s="200"/>
    </row>
    <row r="35" spans="1:19" ht="11.25" customHeight="1">
      <c r="A35" s="149" t="s">
        <v>771</v>
      </c>
      <c r="B35" s="202"/>
      <c r="C35" s="204"/>
      <c r="D35" s="201"/>
      <c r="E35" s="201"/>
      <c r="F35" s="202"/>
      <c r="G35" s="201"/>
      <c r="H35" s="106">
        <v>149</v>
      </c>
      <c r="I35" s="107" t="s">
        <v>84</v>
      </c>
      <c r="J35" s="106">
        <v>530</v>
      </c>
      <c r="K35" s="104" t="s">
        <v>14</v>
      </c>
      <c r="L35" s="105"/>
      <c r="M35" s="106"/>
      <c r="N35" s="106"/>
      <c r="O35" s="106"/>
      <c r="P35" s="105"/>
      <c r="Q35" s="105"/>
      <c r="R35" s="200"/>
      <c r="S35" s="200"/>
    </row>
    <row r="36" spans="1:19" ht="11.25" customHeight="1">
      <c r="A36" s="149" t="s">
        <v>772</v>
      </c>
      <c r="B36" s="202"/>
      <c r="C36" s="204"/>
      <c r="D36" s="201"/>
      <c r="E36" s="201"/>
      <c r="F36" s="202"/>
      <c r="G36" s="201"/>
      <c r="H36" s="106">
        <v>161</v>
      </c>
      <c r="I36" s="107" t="s">
        <v>84</v>
      </c>
      <c r="J36" s="106">
        <v>530</v>
      </c>
      <c r="K36" s="104" t="s">
        <v>14</v>
      </c>
      <c r="L36" s="105"/>
      <c r="M36" s="106"/>
      <c r="N36" s="106"/>
      <c r="O36" s="106"/>
      <c r="P36" s="105"/>
      <c r="Q36" s="105"/>
      <c r="R36" s="200"/>
      <c r="S36" s="200"/>
    </row>
    <row r="37" spans="1:19" ht="11.25" customHeight="1">
      <c r="A37" s="149" t="s">
        <v>773</v>
      </c>
      <c r="B37" s="202"/>
      <c r="C37" s="203" t="s">
        <v>748</v>
      </c>
      <c r="D37" s="203" t="s">
        <v>764</v>
      </c>
      <c r="E37" s="201" t="s">
        <v>730</v>
      </c>
      <c r="F37" s="201" t="s">
        <v>765</v>
      </c>
      <c r="G37" s="201" t="s">
        <v>732</v>
      </c>
      <c r="H37" s="106">
        <v>36</v>
      </c>
      <c r="I37" s="150" t="s">
        <v>703</v>
      </c>
      <c r="J37" s="105"/>
      <c r="K37" s="104" t="s">
        <v>14</v>
      </c>
      <c r="L37" s="105"/>
      <c r="M37" s="105"/>
      <c r="N37" s="105"/>
      <c r="O37" s="105"/>
      <c r="P37" s="105"/>
      <c r="Q37" s="105"/>
      <c r="R37" s="200"/>
      <c r="S37" s="200"/>
    </row>
    <row r="38" spans="1:19" ht="11.25" customHeight="1">
      <c r="A38" s="149" t="s">
        <v>774</v>
      </c>
      <c r="B38" s="202"/>
      <c r="C38" s="204"/>
      <c r="D38" s="201"/>
      <c r="E38" s="201"/>
      <c r="F38" s="202"/>
      <c r="G38" s="201"/>
      <c r="H38" s="106">
        <v>64</v>
      </c>
      <c r="I38" s="150" t="s">
        <v>703</v>
      </c>
      <c r="J38" s="105"/>
      <c r="K38" s="104" t="s">
        <v>14</v>
      </c>
      <c r="L38" s="105"/>
      <c r="M38" s="105"/>
      <c r="N38" s="105"/>
      <c r="O38" s="105"/>
      <c r="P38" s="105"/>
      <c r="Q38" s="105"/>
      <c r="R38" s="200"/>
      <c r="S38" s="200"/>
    </row>
    <row r="39" spans="1:19" ht="11.25" customHeight="1">
      <c r="A39" s="149" t="s">
        <v>775</v>
      </c>
      <c r="B39" s="202"/>
      <c r="C39" s="204"/>
      <c r="D39" s="201"/>
      <c r="E39" s="201"/>
      <c r="F39" s="202"/>
      <c r="G39" s="201"/>
      <c r="H39" s="106">
        <v>149</v>
      </c>
      <c r="I39" s="150" t="s">
        <v>703</v>
      </c>
      <c r="J39" s="105"/>
      <c r="K39" s="104" t="s">
        <v>14</v>
      </c>
      <c r="L39" s="105"/>
      <c r="M39" s="105"/>
      <c r="N39" s="105"/>
      <c r="O39" s="105"/>
      <c r="P39" s="105"/>
      <c r="Q39" s="105"/>
      <c r="R39" s="200"/>
      <c r="S39" s="200"/>
    </row>
    <row r="40" spans="1:19" ht="11.25" customHeight="1">
      <c r="A40" s="149" t="s">
        <v>776</v>
      </c>
      <c r="B40" s="202"/>
      <c r="C40" s="204"/>
      <c r="D40" s="201"/>
      <c r="E40" s="201"/>
      <c r="F40" s="202"/>
      <c r="G40" s="201"/>
      <c r="H40" s="106">
        <v>161</v>
      </c>
      <c r="I40" s="150" t="s">
        <v>703</v>
      </c>
      <c r="J40" s="105"/>
      <c r="K40" s="104" t="s">
        <v>14</v>
      </c>
      <c r="L40" s="105"/>
      <c r="M40" s="105"/>
      <c r="N40" s="105"/>
      <c r="O40" s="105"/>
      <c r="P40" s="105"/>
      <c r="Q40" s="105"/>
      <c r="R40" s="200"/>
      <c r="S40" s="200"/>
    </row>
    <row r="41" spans="1:19" ht="11.25" customHeight="1">
      <c r="A41" s="149" t="s">
        <v>777</v>
      </c>
      <c r="B41" s="202"/>
      <c r="C41" s="204"/>
      <c r="D41" s="201"/>
      <c r="E41" s="201"/>
      <c r="F41" s="201" t="s">
        <v>765</v>
      </c>
      <c r="G41" s="201" t="s">
        <v>737</v>
      </c>
      <c r="H41" s="106">
        <v>36</v>
      </c>
      <c r="I41" s="150" t="s">
        <v>703</v>
      </c>
      <c r="J41" s="105"/>
      <c r="K41" s="104" t="s">
        <v>14</v>
      </c>
      <c r="L41" s="105"/>
      <c r="M41" s="105"/>
      <c r="N41" s="105"/>
      <c r="O41" s="105"/>
      <c r="P41" s="105"/>
      <c r="Q41" s="105"/>
      <c r="R41" s="200"/>
      <c r="S41" s="200"/>
    </row>
    <row r="42" spans="1:19" ht="11.25" customHeight="1">
      <c r="A42" s="149" t="s">
        <v>778</v>
      </c>
      <c r="B42" s="202"/>
      <c r="C42" s="204"/>
      <c r="D42" s="201"/>
      <c r="E42" s="201"/>
      <c r="F42" s="202"/>
      <c r="G42" s="201"/>
      <c r="H42" s="106">
        <v>64</v>
      </c>
      <c r="I42" s="150" t="s">
        <v>703</v>
      </c>
      <c r="J42" s="105"/>
      <c r="K42" s="104" t="s">
        <v>14</v>
      </c>
      <c r="L42" s="105"/>
      <c r="M42" s="105"/>
      <c r="N42" s="105"/>
      <c r="O42" s="105"/>
      <c r="P42" s="105"/>
      <c r="Q42" s="105"/>
      <c r="R42" s="200"/>
      <c r="S42" s="200"/>
    </row>
    <row r="43" spans="1:19" ht="11.25" customHeight="1">
      <c r="A43" s="149" t="s">
        <v>779</v>
      </c>
      <c r="B43" s="202"/>
      <c r="C43" s="204"/>
      <c r="D43" s="201"/>
      <c r="E43" s="201"/>
      <c r="F43" s="202"/>
      <c r="G43" s="201"/>
      <c r="H43" s="106">
        <v>149</v>
      </c>
      <c r="I43" s="150" t="s">
        <v>703</v>
      </c>
      <c r="J43" s="105"/>
      <c r="K43" s="104" t="s">
        <v>14</v>
      </c>
      <c r="L43" s="105"/>
      <c r="M43" s="105"/>
      <c r="N43" s="105"/>
      <c r="O43" s="105"/>
      <c r="P43" s="105"/>
      <c r="Q43" s="105"/>
      <c r="R43" s="200"/>
      <c r="S43" s="200"/>
    </row>
    <row r="44" spans="1:19" ht="11.25" customHeight="1">
      <c r="A44" s="149" t="s">
        <v>780</v>
      </c>
      <c r="B44" s="202"/>
      <c r="C44" s="204"/>
      <c r="D44" s="201"/>
      <c r="E44" s="201"/>
      <c r="F44" s="202"/>
      <c r="G44" s="201"/>
      <c r="H44" s="106">
        <v>161</v>
      </c>
      <c r="I44" s="150" t="s">
        <v>703</v>
      </c>
      <c r="J44" s="105"/>
      <c r="K44" s="104" t="s">
        <v>14</v>
      </c>
      <c r="L44" s="105"/>
      <c r="M44" s="105"/>
      <c r="N44" s="105"/>
      <c r="O44" s="105"/>
      <c r="P44" s="105"/>
      <c r="Q44" s="105"/>
      <c r="R44" s="200"/>
      <c r="S44" s="200"/>
    </row>
    <row r="45" spans="1:19" ht="11.25" customHeight="1">
      <c r="R45" s="133"/>
      <c r="S45" s="136"/>
    </row>
    <row r="46" spans="1:19" ht="11.25" customHeight="1">
      <c r="R46" s="133"/>
      <c r="S46" s="136"/>
    </row>
    <row r="47" spans="1:19" ht="11.25" customHeight="1">
      <c r="R47" s="133"/>
      <c r="S47" s="136"/>
    </row>
    <row r="48" spans="1:19" ht="11.25" customHeight="1">
      <c r="R48" s="133"/>
      <c r="S48" s="136"/>
    </row>
    <row r="49" spans="18:19" ht="11.25" customHeight="1">
      <c r="R49" s="133"/>
      <c r="S49" s="136"/>
    </row>
    <row r="50" spans="18:19" ht="11.25" customHeight="1">
      <c r="R50" s="133"/>
      <c r="S50" s="136"/>
    </row>
    <row r="51" spans="18:19" ht="11.25" customHeight="1">
      <c r="R51" s="133"/>
      <c r="S51" s="136"/>
    </row>
    <row r="52" spans="18:19" ht="11.25" customHeight="1">
      <c r="R52" s="133"/>
      <c r="S52" s="136"/>
    </row>
    <row r="53" spans="18:19" ht="11.25" customHeight="1">
      <c r="R53" s="133"/>
      <c r="S53" s="136"/>
    </row>
    <row r="54" spans="18:19" ht="11.25" customHeight="1">
      <c r="R54" s="133"/>
      <c r="S54" s="136"/>
    </row>
    <row r="55" spans="18:19" ht="11.25" customHeight="1">
      <c r="R55" s="133"/>
      <c r="S55" s="151"/>
    </row>
    <row r="56" spans="18:19" ht="11.25" customHeight="1">
      <c r="R56" s="133"/>
      <c r="S56" s="151"/>
    </row>
    <row r="57" spans="18:19" ht="11.25" customHeight="1">
      <c r="R57" s="133"/>
      <c r="S57" s="151"/>
    </row>
    <row r="58" spans="18:19" ht="11.25" customHeight="1">
      <c r="R58" s="133"/>
      <c r="S58" s="151"/>
    </row>
    <row r="59" spans="18:19" ht="11.25" customHeight="1">
      <c r="R59" s="133"/>
      <c r="S59" s="151"/>
    </row>
    <row r="60" spans="18:19" ht="11.25" customHeight="1">
      <c r="R60" s="133"/>
      <c r="S60" s="151"/>
    </row>
    <row r="61" spans="18:19" ht="11.25" customHeight="1">
      <c r="R61" s="133"/>
      <c r="S61" s="151"/>
    </row>
    <row r="62" spans="18:19" ht="11.25" customHeight="1">
      <c r="R62" s="133"/>
      <c r="S62" s="151"/>
    </row>
    <row r="63" spans="18:19" ht="11.25" customHeight="1">
      <c r="R63" s="133"/>
      <c r="S63" s="151"/>
    </row>
    <row r="64" spans="18:19" ht="11.25" customHeight="1">
      <c r="R64" s="133"/>
      <c r="S64" s="151"/>
    </row>
    <row r="65" spans="18:19" ht="11.25" customHeight="1">
      <c r="R65" s="133"/>
      <c r="S65" s="151"/>
    </row>
    <row r="66" spans="18:19" ht="11.25" customHeight="1">
      <c r="R66" s="133"/>
      <c r="S66" s="151"/>
    </row>
    <row r="67" spans="18:19" ht="11.25" customHeight="1">
      <c r="R67" s="133"/>
      <c r="S67" s="151"/>
    </row>
    <row r="68" spans="18:19" ht="11.25" customHeight="1">
      <c r="R68" s="133"/>
      <c r="S68" s="151"/>
    </row>
    <row r="69" spans="18:19" ht="11.25" customHeight="1">
      <c r="R69" s="133"/>
      <c r="S69" s="136"/>
    </row>
    <row r="70" spans="18:19" ht="11.25" customHeight="1">
      <c r="R70" s="133"/>
      <c r="S70" s="136"/>
    </row>
    <row r="71" spans="18:19" ht="11.25" customHeight="1">
      <c r="R71" s="133"/>
      <c r="S71" s="136"/>
    </row>
    <row r="72" spans="18:19" ht="11.25" customHeight="1">
      <c r="R72" s="133"/>
      <c r="S72" s="136"/>
    </row>
    <row r="73" spans="18:19" ht="11.25" customHeight="1">
      <c r="R73" s="133"/>
      <c r="S73" s="136"/>
    </row>
    <row r="74" spans="18:19" ht="11.25" customHeight="1">
      <c r="R74" s="133"/>
      <c r="S74" s="136"/>
    </row>
    <row r="75" spans="18:19" ht="11.25" customHeight="1">
      <c r="R75" s="133"/>
      <c r="S75" s="136"/>
    </row>
    <row r="76" spans="18:19" ht="11.25" customHeight="1">
      <c r="R76" s="133"/>
      <c r="S76" s="136"/>
    </row>
    <row r="77" spans="18:19" ht="11.25" customHeight="1">
      <c r="R77" s="133"/>
      <c r="S77" s="136"/>
    </row>
    <row r="78" spans="18:19" ht="11.25" customHeight="1">
      <c r="R78" s="133"/>
      <c r="S78" s="136"/>
    </row>
    <row r="79" spans="18:19" ht="11.25" customHeight="1">
      <c r="R79" s="133"/>
      <c r="S79" s="136"/>
    </row>
    <row r="80" spans="18:19" ht="11.25" customHeight="1">
      <c r="R80" s="133"/>
      <c r="S80" s="136"/>
    </row>
    <row r="81" spans="18:18" ht="11.25" customHeight="1">
      <c r="R81" s="133"/>
    </row>
    <row r="82" spans="18:18" ht="11.25" customHeight="1">
      <c r="R82" s="133"/>
    </row>
    <row r="83" spans="18:18" ht="11.25" customHeight="1">
      <c r="R83" s="133"/>
    </row>
    <row r="84" spans="18:18" ht="11.25" customHeight="1">
      <c r="R84" s="133"/>
    </row>
    <row r="85" spans="18:18" ht="11.25" customHeight="1">
      <c r="R85" s="133"/>
    </row>
    <row r="86" spans="18:18" ht="11.25" customHeight="1">
      <c r="R86" s="133"/>
    </row>
    <row r="87" spans="18:18" ht="11.25" customHeight="1">
      <c r="R87" s="133"/>
    </row>
    <row r="88" spans="18:18" ht="11.25" customHeight="1">
      <c r="R88" s="133"/>
    </row>
    <row r="89" spans="18:18" ht="11.25" customHeight="1">
      <c r="R89" s="133"/>
    </row>
    <row r="90" spans="18:18" ht="11.25" customHeight="1">
      <c r="R90" s="133"/>
    </row>
    <row r="91" spans="18:18" ht="11.25" customHeight="1">
      <c r="R91" s="133"/>
    </row>
    <row r="92" spans="18:18" ht="11.25" customHeight="1">
      <c r="R92" s="133"/>
    </row>
    <row r="93" spans="18:18" ht="11.25" customHeight="1">
      <c r="R93" s="133"/>
    </row>
    <row r="94" spans="18:18" ht="11.25" customHeight="1">
      <c r="R94" s="133"/>
    </row>
    <row r="95" spans="18:18" ht="11.25" customHeight="1">
      <c r="R95" s="133"/>
    </row>
    <row r="96" spans="18:18" ht="11.25" customHeight="1">
      <c r="R96" s="133"/>
    </row>
    <row r="97" spans="18:19" ht="11.25" customHeight="1">
      <c r="R97" s="133"/>
      <c r="S97" s="136"/>
    </row>
    <row r="98" spans="18:19" ht="11.25" customHeight="1">
      <c r="R98" s="133"/>
      <c r="S98" s="136"/>
    </row>
    <row r="99" spans="18:19" ht="11.25" customHeight="1">
      <c r="R99" s="133"/>
      <c r="S99" s="136"/>
    </row>
    <row r="100" spans="18:19" ht="11.25" customHeight="1">
      <c r="R100" s="133"/>
      <c r="S100" s="136"/>
    </row>
    <row r="101" spans="18:19" ht="11.25" customHeight="1">
      <c r="R101" s="133"/>
      <c r="S101" s="136"/>
    </row>
    <row r="102" spans="18:19" ht="11.25" customHeight="1">
      <c r="R102" s="133"/>
      <c r="S102" s="151"/>
    </row>
    <row r="103" spans="18:19" ht="11.25" customHeight="1">
      <c r="R103" s="133"/>
      <c r="S103" s="136"/>
    </row>
    <row r="104" spans="18:19" ht="11.25" customHeight="1">
      <c r="R104" s="133"/>
      <c r="S104" s="136"/>
    </row>
    <row r="105" spans="18:19" ht="11.25" customHeight="1">
      <c r="R105" s="133"/>
      <c r="S105" s="136"/>
    </row>
    <row r="106" spans="18:19" ht="11.25" customHeight="1">
      <c r="R106" s="133"/>
      <c r="S106" s="136"/>
    </row>
    <row r="107" spans="18:19" ht="11.25" customHeight="1">
      <c r="R107" s="133"/>
      <c r="S107" s="136"/>
    </row>
    <row r="108" spans="18:19" ht="11.25" customHeight="1">
      <c r="R108" s="133"/>
      <c r="S108" s="136"/>
    </row>
    <row r="109" spans="18:19" ht="11.25" customHeight="1">
      <c r="R109" s="133"/>
      <c r="S109" s="136"/>
    </row>
    <row r="110" spans="18:19" ht="11.25" customHeight="1">
      <c r="R110" s="133"/>
      <c r="S110" s="136"/>
    </row>
    <row r="111" spans="18:19" ht="11.25" customHeight="1">
      <c r="R111" s="133"/>
      <c r="S111" s="136"/>
    </row>
    <row r="112" spans="18:19" ht="11.25" customHeight="1">
      <c r="R112" s="133"/>
      <c r="S112" s="136"/>
    </row>
    <row r="113" spans="18:18" ht="11.25" customHeight="1">
      <c r="R113" s="133"/>
    </row>
    <row r="114" spans="18:18" ht="11.25" customHeight="1">
      <c r="R114" s="133"/>
    </row>
  </sheetData>
  <sheetProtection formatCells="0" formatColumns="0" formatRows="0" insertColumns="0" insertRows="0" insertHyperlinks="0" deleteColumns="0" deleteRows="0" sort="0" autoFilter="0" pivotTables="0"/>
  <mergeCells count="41">
    <mergeCell ref="A1:Q1"/>
    <mergeCell ref="F2:M2"/>
    <mergeCell ref="B3:M3"/>
    <mergeCell ref="B5:B22"/>
    <mergeCell ref="B23:B28"/>
    <mergeCell ref="D5:D22"/>
    <mergeCell ref="D23:D28"/>
    <mergeCell ref="F5:F10"/>
    <mergeCell ref="F11:F16"/>
    <mergeCell ref="F17:F22"/>
    <mergeCell ref="F23:F28"/>
    <mergeCell ref="B29:B44"/>
    <mergeCell ref="C5:C16"/>
    <mergeCell ref="C17:C22"/>
    <mergeCell ref="C23:C28"/>
    <mergeCell ref="C29:C36"/>
    <mergeCell ref="C37:C44"/>
    <mergeCell ref="G37:G40"/>
    <mergeCell ref="G41:G44"/>
    <mergeCell ref="D29:D36"/>
    <mergeCell ref="D37:D44"/>
    <mergeCell ref="E5:E22"/>
    <mergeCell ref="E23:E28"/>
    <mergeCell ref="E29:E36"/>
    <mergeCell ref="E37:E44"/>
    <mergeCell ref="R5:R44"/>
    <mergeCell ref="S5:S44"/>
    <mergeCell ref="F29:F32"/>
    <mergeCell ref="F33:F36"/>
    <mergeCell ref="F37:F40"/>
    <mergeCell ref="F41:F44"/>
    <mergeCell ref="G5:G7"/>
    <mergeCell ref="G8:G10"/>
    <mergeCell ref="G11:G13"/>
    <mergeCell ref="G14:G16"/>
    <mergeCell ref="G17:G19"/>
    <mergeCell ref="G20:G22"/>
    <mergeCell ref="G23:G25"/>
    <mergeCell ref="G26:G28"/>
    <mergeCell ref="G29:G32"/>
    <mergeCell ref="G33:G36"/>
  </mergeCells>
  <phoneticPr fontId="25" type="noConversion"/>
  <conditionalFormatting sqref="K1:K1048576">
    <cfRule type="cellIs" dxfId="32" priority="1" operator="equal">
      <formula>"N/A"</formula>
    </cfRule>
  </conditionalFormatting>
  <conditionalFormatting sqref="K2:K1048576">
    <cfRule type="cellIs" dxfId="31" priority="3" operator="equal">
      <formula>"Fail"</formula>
    </cfRule>
    <cfRule type="cellIs" dxfId="30" priority="4" operator="equal">
      <formula>"Pass"</formula>
    </cfRule>
  </conditionalFormatting>
  <dataValidations count="2">
    <dataValidation type="list" allowBlank="1" showErrorMessage="1" errorTitle="错误提示" error="请输入下拉列表中的值" sqref="K2:K3 K5:K1048576" xr:uid="{00000000-0002-0000-0200-000000000000}">
      <formula1>"Pass,Fail,N/A"</formula1>
    </dataValidation>
    <dataValidation type="list" allowBlank="1" showInputMessage="1" showErrorMessage="1" sqref="R5 R45:R114" xr:uid="{0A56ED15-0BE7-C34F-9040-6AB2713E0467}">
      <formula1>"Yes,No,Todo"</formula1>
    </dataValidation>
  </dataValidations>
  <pageMargins left="0.75" right="0.75" top="1" bottom="1" header="0.5" footer="0.5"/>
  <pageSetup paperSize="9" scale="53"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14"/>
  <sheetViews>
    <sheetView view="pageBreakPreview" zoomScaleNormal="100" workbookViewId="0">
      <pane ySplit="4" topLeftCell="E30" activePane="bottomLeft" state="frozen"/>
      <selection pane="bottomLeft" activeCell="N30" sqref="N30"/>
    </sheetView>
  </sheetViews>
  <sheetFormatPr defaultColWidth="9" defaultRowHeight="14.1"/>
  <cols>
    <col min="1" max="1" width="13" style="10" customWidth="1"/>
    <col min="2" max="2" width="10.375" style="10" customWidth="1"/>
    <col min="3" max="3" width="14.125" style="10" customWidth="1"/>
    <col min="4" max="4" width="15.625" style="10" customWidth="1"/>
    <col min="5" max="5" width="32" style="10" customWidth="1"/>
    <col min="6" max="6" width="27.125" style="10" customWidth="1"/>
    <col min="7" max="7" width="8.375" style="10" customWidth="1"/>
    <col min="8" max="8" width="9.875" style="10" customWidth="1"/>
    <col min="9" max="9" width="11.5" style="10" customWidth="1"/>
    <col min="10" max="10" width="10" style="10" customWidth="1"/>
    <col min="11" max="12" width="9" style="10"/>
    <col min="13" max="13" width="12.5" style="57" bestFit="1" customWidth="1"/>
    <col min="14" max="14" width="13.875" style="57" bestFit="1" customWidth="1"/>
    <col min="15" max="16" width="9" style="10"/>
    <col min="17" max="17" width="53.625" style="10" customWidth="1"/>
    <col min="18" max="18" width="82.375" style="10" customWidth="1"/>
    <col min="19" max="16384" width="9" style="10"/>
  </cols>
  <sheetData>
    <row r="1" spans="1:18" ht="30.75" customHeight="1">
      <c r="A1" s="172" t="s">
        <v>781</v>
      </c>
      <c r="B1" s="172"/>
      <c r="C1" s="172"/>
      <c r="D1" s="172"/>
      <c r="E1" s="172"/>
      <c r="F1" s="172"/>
      <c r="G1" s="172"/>
      <c r="H1" s="172"/>
      <c r="I1" s="172"/>
      <c r="J1" s="172"/>
      <c r="K1" s="172"/>
      <c r="L1" s="172"/>
      <c r="M1" s="136"/>
      <c r="N1" s="136"/>
    </row>
    <row r="2" spans="1:18" ht="22.5" customHeight="1">
      <c r="A2" s="12" t="s">
        <v>60</v>
      </c>
      <c r="B2" s="13" t="str">
        <f>IF(Summary!B3="","",Summary!B3)</f>
        <v/>
      </c>
      <c r="C2" s="12" t="s">
        <v>61</v>
      </c>
      <c r="D2" s="13" t="str">
        <f>IF(Summary!B4="","",Summary!B4)</f>
        <v/>
      </c>
      <c r="E2" s="12" t="s">
        <v>8</v>
      </c>
      <c r="F2" s="14" t="str">
        <f>IF(Summary!B8="","",Summary!B8)</f>
        <v/>
      </c>
      <c r="G2" s="15" t="s">
        <v>11</v>
      </c>
      <c r="H2" s="15" t="s">
        <v>12</v>
      </c>
      <c r="I2" s="16" t="s">
        <v>13</v>
      </c>
      <c r="J2" s="15" t="s">
        <v>14</v>
      </c>
      <c r="M2" s="136"/>
      <c r="N2" s="136"/>
    </row>
    <row r="3" spans="1:18" ht="24" customHeight="1">
      <c r="A3" s="16" t="s">
        <v>62</v>
      </c>
      <c r="B3" s="173"/>
      <c r="C3" s="174"/>
      <c r="D3" s="174"/>
      <c r="E3" s="174"/>
      <c r="F3" s="175"/>
      <c r="G3" s="17">
        <f>COUNTIFS(A:A,"*")-4</f>
        <v>70</v>
      </c>
      <c r="H3" s="17">
        <f>COUNTIFS($H4:$H487,H2)</f>
        <v>0</v>
      </c>
      <c r="I3" s="17">
        <f>COUNTIFS($H4:$H487,I2)</f>
        <v>0</v>
      </c>
      <c r="J3" s="17">
        <f>COUNTIFS($H4:$H487,J2)</f>
        <v>70</v>
      </c>
      <c r="M3" s="136"/>
      <c r="N3"/>
    </row>
    <row r="4" spans="1:18" ht="31.5" customHeight="1">
      <c r="A4" s="137" t="s">
        <v>63</v>
      </c>
      <c r="B4" s="137" t="s">
        <v>64</v>
      </c>
      <c r="C4" s="18" t="s">
        <v>65</v>
      </c>
      <c r="D4" s="18" t="s">
        <v>66</v>
      </c>
      <c r="E4" s="138" t="s">
        <v>67</v>
      </c>
      <c r="F4" s="137" t="s">
        <v>68</v>
      </c>
      <c r="G4" s="137" t="s">
        <v>48</v>
      </c>
      <c r="H4" s="137" t="s">
        <v>69</v>
      </c>
      <c r="I4" s="137" t="s">
        <v>70</v>
      </c>
      <c r="J4" s="139" t="s">
        <v>71</v>
      </c>
      <c r="K4" s="89" t="s">
        <v>72</v>
      </c>
      <c r="L4" s="89" t="s">
        <v>73</v>
      </c>
      <c r="M4" s="132" t="s">
        <v>74</v>
      </c>
      <c r="N4" s="132" t="s">
        <v>75</v>
      </c>
      <c r="O4" s="132" t="s">
        <v>782</v>
      </c>
      <c r="P4" s="132" t="s">
        <v>783</v>
      </c>
      <c r="Q4" s="168" t="s">
        <v>76</v>
      </c>
      <c r="R4" s="168" t="s">
        <v>77</v>
      </c>
    </row>
    <row r="5" spans="1:18" ht="386.25">
      <c r="A5" s="25" t="s">
        <v>784</v>
      </c>
      <c r="B5" s="29" t="s">
        <v>785</v>
      </c>
      <c r="C5" s="26" t="s">
        <v>786</v>
      </c>
      <c r="D5" s="37"/>
      <c r="E5" s="27" t="s">
        <v>787</v>
      </c>
      <c r="F5" s="38" t="s">
        <v>788</v>
      </c>
      <c r="G5" s="25" t="s">
        <v>84</v>
      </c>
      <c r="H5" s="24" t="s">
        <v>14</v>
      </c>
      <c r="I5" s="84"/>
      <c r="J5" s="30" t="s">
        <v>85</v>
      </c>
      <c r="K5" s="65" t="s">
        <v>86</v>
      </c>
      <c r="L5" s="65" t="s">
        <v>86</v>
      </c>
      <c r="M5" s="133" t="s">
        <v>789</v>
      </c>
      <c r="N5" s="133"/>
      <c r="Q5" s="170" t="s">
        <v>790</v>
      </c>
      <c r="R5" s="169" t="s">
        <v>791</v>
      </c>
    </row>
    <row r="6" spans="1:18" s="11" customFormat="1" ht="409.6">
      <c r="A6" s="25" t="s">
        <v>792</v>
      </c>
      <c r="B6" s="29" t="s">
        <v>785</v>
      </c>
      <c r="C6" s="30" t="s">
        <v>793</v>
      </c>
      <c r="D6" s="81" t="s">
        <v>794</v>
      </c>
      <c r="E6" s="31" t="s">
        <v>795</v>
      </c>
      <c r="F6" s="82" t="s">
        <v>796</v>
      </c>
      <c r="G6" s="53" t="s">
        <v>84</v>
      </c>
      <c r="H6" s="24" t="s">
        <v>14</v>
      </c>
      <c r="I6" s="84"/>
      <c r="J6" s="30" t="s">
        <v>85</v>
      </c>
      <c r="K6" s="90"/>
      <c r="L6" s="90"/>
      <c r="M6" s="133" t="s">
        <v>789</v>
      </c>
      <c r="N6" s="136"/>
      <c r="Q6" s="170" t="s">
        <v>797</v>
      </c>
      <c r="R6" s="169" t="s">
        <v>798</v>
      </c>
    </row>
    <row r="7" spans="1:18" s="11" customFormat="1" ht="409.6">
      <c r="A7" s="25" t="s">
        <v>799</v>
      </c>
      <c r="B7" s="29" t="s">
        <v>785</v>
      </c>
      <c r="C7" s="30" t="s">
        <v>800</v>
      </c>
      <c r="D7" s="81" t="s">
        <v>801</v>
      </c>
      <c r="E7" s="31" t="s">
        <v>802</v>
      </c>
      <c r="F7" s="82" t="s">
        <v>803</v>
      </c>
      <c r="G7" s="53" t="s">
        <v>84</v>
      </c>
      <c r="H7" s="24" t="s">
        <v>14</v>
      </c>
      <c r="I7" s="84"/>
      <c r="J7" s="30" t="s">
        <v>85</v>
      </c>
      <c r="K7" s="90"/>
      <c r="L7" s="90"/>
      <c r="M7" s="133" t="s">
        <v>789</v>
      </c>
      <c r="N7" s="136"/>
      <c r="Q7" s="170" t="s">
        <v>804</v>
      </c>
      <c r="R7" s="169" t="s">
        <v>805</v>
      </c>
    </row>
    <row r="8" spans="1:18" ht="386.25">
      <c r="A8" s="25" t="s">
        <v>806</v>
      </c>
      <c r="B8" s="29" t="s">
        <v>785</v>
      </c>
      <c r="C8" s="26" t="s">
        <v>807</v>
      </c>
      <c r="D8" s="37"/>
      <c r="E8" s="153" t="s">
        <v>808</v>
      </c>
      <c r="F8" s="154" t="s">
        <v>809</v>
      </c>
      <c r="G8" s="25" t="s">
        <v>100</v>
      </c>
      <c r="H8" s="24" t="s">
        <v>14</v>
      </c>
      <c r="I8" s="84"/>
      <c r="J8" s="30" t="s">
        <v>85</v>
      </c>
      <c r="K8" s="65"/>
      <c r="L8" s="65"/>
      <c r="M8" s="133" t="s">
        <v>789</v>
      </c>
      <c r="N8" s="136"/>
      <c r="Q8" s="170" t="s">
        <v>810</v>
      </c>
      <c r="R8" s="169" t="s">
        <v>811</v>
      </c>
    </row>
    <row r="9" spans="1:18" ht="345">
      <c r="A9" s="25" t="s">
        <v>812</v>
      </c>
      <c r="B9" s="29" t="s">
        <v>785</v>
      </c>
      <c r="C9" s="26" t="s">
        <v>813</v>
      </c>
      <c r="D9" s="37"/>
      <c r="E9" s="153" t="s">
        <v>814</v>
      </c>
      <c r="F9" s="154" t="s">
        <v>815</v>
      </c>
      <c r="G9" s="25" t="s">
        <v>100</v>
      </c>
      <c r="H9" s="24" t="s">
        <v>14</v>
      </c>
      <c r="I9" s="49"/>
      <c r="J9" s="30" t="s">
        <v>85</v>
      </c>
      <c r="K9" s="65"/>
      <c r="L9" s="65"/>
      <c r="M9" s="133" t="s">
        <v>789</v>
      </c>
      <c r="N9" s="136"/>
      <c r="Q9" s="170" t="s">
        <v>816</v>
      </c>
      <c r="R9" s="169" t="s">
        <v>817</v>
      </c>
    </row>
    <row r="10" spans="1:18" ht="372.75">
      <c r="A10" s="25" t="s">
        <v>818</v>
      </c>
      <c r="B10" s="29" t="s">
        <v>785</v>
      </c>
      <c r="C10" s="26" t="s">
        <v>819</v>
      </c>
      <c r="D10" s="27"/>
      <c r="E10" s="27" t="s">
        <v>820</v>
      </c>
      <c r="F10" s="155" t="s">
        <v>821</v>
      </c>
      <c r="G10" s="25" t="s">
        <v>100</v>
      </c>
      <c r="H10" s="24" t="s">
        <v>14</v>
      </c>
      <c r="I10" s="49"/>
      <c r="J10" s="30" t="s">
        <v>85</v>
      </c>
      <c r="K10" s="65"/>
      <c r="L10" s="65"/>
      <c r="M10" s="133" t="s">
        <v>789</v>
      </c>
      <c r="N10" s="136"/>
      <c r="Q10" s="170" t="s">
        <v>822</v>
      </c>
      <c r="R10" s="169" t="s">
        <v>823</v>
      </c>
    </row>
    <row r="11" spans="1:18" ht="409.6">
      <c r="A11" s="25" t="s">
        <v>824</v>
      </c>
      <c r="B11" s="29" t="s">
        <v>785</v>
      </c>
      <c r="C11" s="26" t="s">
        <v>825</v>
      </c>
      <c r="D11" s="27"/>
      <c r="E11" s="28" t="s">
        <v>826</v>
      </c>
      <c r="F11" s="155" t="s">
        <v>827</v>
      </c>
      <c r="G11" s="25" t="s">
        <v>100</v>
      </c>
      <c r="H11" s="24" t="s">
        <v>14</v>
      </c>
      <c r="I11" s="84"/>
      <c r="J11" s="30" t="s">
        <v>85</v>
      </c>
      <c r="K11" s="65"/>
      <c r="L11" s="65"/>
      <c r="M11" s="133" t="s">
        <v>828</v>
      </c>
      <c r="N11" s="136" t="s">
        <v>829</v>
      </c>
      <c r="Q11" s="170" t="s">
        <v>830</v>
      </c>
      <c r="R11" s="169" t="s">
        <v>831</v>
      </c>
    </row>
    <row r="12" spans="1:18" ht="345">
      <c r="A12" s="25" t="s">
        <v>832</v>
      </c>
      <c r="B12" s="29" t="s">
        <v>785</v>
      </c>
      <c r="C12" s="32" t="s">
        <v>833</v>
      </c>
      <c r="D12" s="27"/>
      <c r="E12" s="32" t="s">
        <v>834</v>
      </c>
      <c r="F12" s="32" t="s">
        <v>835</v>
      </c>
      <c r="G12" s="25" t="s">
        <v>100</v>
      </c>
      <c r="H12" s="24" t="s">
        <v>14</v>
      </c>
      <c r="I12" s="49"/>
      <c r="J12" s="30" t="s">
        <v>85</v>
      </c>
      <c r="K12" s="65"/>
      <c r="L12" s="65"/>
      <c r="M12" s="133" t="s">
        <v>789</v>
      </c>
      <c r="N12" s="136"/>
      <c r="Q12" s="170" t="s">
        <v>836</v>
      </c>
      <c r="R12" s="169" t="s">
        <v>837</v>
      </c>
    </row>
    <row r="13" spans="1:18" ht="262.5">
      <c r="A13" s="25" t="s">
        <v>838</v>
      </c>
      <c r="B13" s="29" t="s">
        <v>785</v>
      </c>
      <c r="C13" s="32" t="s">
        <v>833</v>
      </c>
      <c r="D13" s="27"/>
      <c r="E13" s="32" t="s">
        <v>839</v>
      </c>
      <c r="F13" s="32" t="s">
        <v>840</v>
      </c>
      <c r="G13" s="25" t="s">
        <v>100</v>
      </c>
      <c r="H13" s="24" t="s">
        <v>14</v>
      </c>
      <c r="I13" s="49"/>
      <c r="J13" s="30" t="s">
        <v>85</v>
      </c>
      <c r="K13" s="65"/>
      <c r="L13" s="65"/>
      <c r="M13" s="133" t="s">
        <v>789</v>
      </c>
      <c r="N13" s="136"/>
      <c r="Q13" s="170" t="s">
        <v>841</v>
      </c>
      <c r="R13" s="169" t="s">
        <v>842</v>
      </c>
    </row>
    <row r="14" spans="1:18" ht="262.5">
      <c r="A14" s="25" t="s">
        <v>843</v>
      </c>
      <c r="B14" s="29" t="s">
        <v>785</v>
      </c>
      <c r="C14" s="32" t="s">
        <v>833</v>
      </c>
      <c r="D14" s="32"/>
      <c r="E14" s="32" t="s">
        <v>844</v>
      </c>
      <c r="F14" s="32" t="s">
        <v>845</v>
      </c>
      <c r="G14" s="25" t="s">
        <v>100</v>
      </c>
      <c r="H14" s="24" t="s">
        <v>14</v>
      </c>
      <c r="I14" s="49"/>
      <c r="J14" s="30" t="s">
        <v>85</v>
      </c>
      <c r="K14" s="65"/>
      <c r="L14" s="65"/>
      <c r="M14" s="133" t="s">
        <v>789</v>
      </c>
      <c r="N14" s="136"/>
      <c r="O14" s="10" t="s">
        <v>846</v>
      </c>
      <c r="Q14" s="170" t="s">
        <v>847</v>
      </c>
      <c r="R14" s="169" t="s">
        <v>848</v>
      </c>
    </row>
    <row r="15" spans="1:18" ht="399.75">
      <c r="A15" s="25" t="s">
        <v>849</v>
      </c>
      <c r="B15" s="29" t="s">
        <v>785</v>
      </c>
      <c r="C15" s="32" t="s">
        <v>833</v>
      </c>
      <c r="D15" s="32"/>
      <c r="E15" s="32" t="s">
        <v>850</v>
      </c>
      <c r="F15" s="32" t="s">
        <v>851</v>
      </c>
      <c r="G15" s="25" t="s">
        <v>100</v>
      </c>
      <c r="H15" s="24" t="s">
        <v>14</v>
      </c>
      <c r="I15" s="84" t="s">
        <v>852</v>
      </c>
      <c r="J15" s="30" t="s">
        <v>85</v>
      </c>
      <c r="K15" s="65"/>
      <c r="L15" s="65"/>
      <c r="M15" s="133" t="s">
        <v>828</v>
      </c>
      <c r="N15" s="136" t="s">
        <v>853</v>
      </c>
      <c r="Q15" s="170" t="s">
        <v>854</v>
      </c>
      <c r="R15" s="169" t="s">
        <v>855</v>
      </c>
    </row>
    <row r="16" spans="1:18" ht="409.6">
      <c r="A16" s="25" t="s">
        <v>856</v>
      </c>
      <c r="B16" s="29" t="s">
        <v>857</v>
      </c>
      <c r="C16" s="30" t="s">
        <v>858</v>
      </c>
      <c r="D16" s="81" t="s">
        <v>859</v>
      </c>
      <c r="E16" s="31" t="s">
        <v>860</v>
      </c>
      <c r="F16" s="82" t="s">
        <v>861</v>
      </c>
      <c r="G16" s="25" t="s">
        <v>100</v>
      </c>
      <c r="H16" s="24" t="s">
        <v>14</v>
      </c>
      <c r="I16" s="49"/>
      <c r="J16" s="30" t="s">
        <v>85</v>
      </c>
      <c r="K16" s="65" t="s">
        <v>86</v>
      </c>
      <c r="L16" s="65" t="s">
        <v>86</v>
      </c>
      <c r="M16" s="133" t="s">
        <v>789</v>
      </c>
      <c r="N16" s="136"/>
      <c r="Q16" s="170" t="s">
        <v>862</v>
      </c>
      <c r="R16" s="169" t="s">
        <v>863</v>
      </c>
    </row>
    <row r="17" spans="1:18" ht="409.6">
      <c r="A17" s="25" t="s">
        <v>864</v>
      </c>
      <c r="B17" s="29" t="s">
        <v>857</v>
      </c>
      <c r="C17" s="30" t="s">
        <v>865</v>
      </c>
      <c r="D17" s="81" t="s">
        <v>866</v>
      </c>
      <c r="E17" s="31" t="s">
        <v>867</v>
      </c>
      <c r="F17" s="38" t="s">
        <v>868</v>
      </c>
      <c r="G17" s="25" t="s">
        <v>100</v>
      </c>
      <c r="H17" s="24" t="s">
        <v>14</v>
      </c>
      <c r="I17" s="84"/>
      <c r="J17" s="30" t="s">
        <v>85</v>
      </c>
      <c r="K17" s="65" t="s">
        <v>86</v>
      </c>
      <c r="L17" s="65" t="s">
        <v>86</v>
      </c>
      <c r="M17" s="133" t="s">
        <v>789</v>
      </c>
      <c r="N17" s="151"/>
      <c r="Q17" s="170" t="s">
        <v>869</v>
      </c>
      <c r="R17" s="169" t="s">
        <v>870</v>
      </c>
    </row>
    <row r="18" spans="1:18" ht="409.6">
      <c r="A18" s="25" t="s">
        <v>871</v>
      </c>
      <c r="B18" s="29" t="s">
        <v>857</v>
      </c>
      <c r="C18" s="30" t="s">
        <v>872</v>
      </c>
      <c r="D18" s="31" t="s">
        <v>873</v>
      </c>
      <c r="E18" s="32" t="s">
        <v>874</v>
      </c>
      <c r="F18" s="30" t="s">
        <v>875</v>
      </c>
      <c r="G18" s="25" t="s">
        <v>100</v>
      </c>
      <c r="H18" s="24" t="s">
        <v>14</v>
      </c>
      <c r="I18" s="84"/>
      <c r="J18" s="30" t="s">
        <v>85</v>
      </c>
      <c r="K18" s="65"/>
      <c r="L18" s="65"/>
      <c r="M18" s="133" t="s">
        <v>789</v>
      </c>
      <c r="N18" s="136"/>
      <c r="O18" s="136" t="s">
        <v>876</v>
      </c>
      <c r="Q18" s="170" t="s">
        <v>877</v>
      </c>
      <c r="R18" s="169" t="s">
        <v>878</v>
      </c>
    </row>
    <row r="19" spans="1:18" ht="409.6">
      <c r="A19" s="25" t="s">
        <v>879</v>
      </c>
      <c r="B19" s="29" t="s">
        <v>857</v>
      </c>
      <c r="C19" s="30" t="s">
        <v>880</v>
      </c>
      <c r="D19" s="31" t="s">
        <v>873</v>
      </c>
      <c r="E19" s="32" t="s">
        <v>881</v>
      </c>
      <c r="F19" s="30" t="s">
        <v>882</v>
      </c>
      <c r="G19" s="25" t="s">
        <v>100</v>
      </c>
      <c r="H19" s="24" t="s">
        <v>14</v>
      </c>
      <c r="I19" s="84"/>
      <c r="J19" s="30" t="s">
        <v>85</v>
      </c>
      <c r="K19" s="65"/>
      <c r="L19" s="65"/>
      <c r="M19" s="133" t="s">
        <v>789</v>
      </c>
      <c r="N19" s="136"/>
      <c r="O19" s="136" t="s">
        <v>883</v>
      </c>
      <c r="Q19" s="170" t="s">
        <v>884</v>
      </c>
      <c r="R19" s="169" t="s">
        <v>885</v>
      </c>
    </row>
    <row r="20" spans="1:18" ht="409.6">
      <c r="A20" s="25" t="s">
        <v>886</v>
      </c>
      <c r="B20" s="29" t="s">
        <v>857</v>
      </c>
      <c r="C20" s="30" t="s">
        <v>887</v>
      </c>
      <c r="D20" s="31" t="s">
        <v>888</v>
      </c>
      <c r="E20" s="41" t="s">
        <v>889</v>
      </c>
      <c r="F20" s="30" t="s">
        <v>890</v>
      </c>
      <c r="G20" s="25" t="s">
        <v>100</v>
      </c>
      <c r="H20" s="24" t="s">
        <v>14</v>
      </c>
      <c r="I20" s="84"/>
      <c r="J20" s="30" t="s">
        <v>85</v>
      </c>
      <c r="K20" s="65"/>
      <c r="L20" s="65"/>
      <c r="M20" s="133" t="s">
        <v>789</v>
      </c>
      <c r="N20" s="136"/>
      <c r="O20" s="136" t="s">
        <v>891</v>
      </c>
      <c r="Q20" s="170" t="s">
        <v>892</v>
      </c>
      <c r="R20" s="169" t="s">
        <v>893</v>
      </c>
    </row>
    <row r="21" spans="1:18" ht="409.6">
      <c r="A21" s="25" t="s">
        <v>894</v>
      </c>
      <c r="B21" s="29" t="s">
        <v>857</v>
      </c>
      <c r="C21" s="30" t="s">
        <v>895</v>
      </c>
      <c r="D21" s="31" t="s">
        <v>873</v>
      </c>
      <c r="E21" s="32" t="s">
        <v>896</v>
      </c>
      <c r="F21" s="30" t="s">
        <v>875</v>
      </c>
      <c r="G21" s="25" t="s">
        <v>100</v>
      </c>
      <c r="H21" s="24" t="s">
        <v>14</v>
      </c>
      <c r="I21" s="84"/>
      <c r="J21" s="30" t="s">
        <v>85</v>
      </c>
      <c r="K21" s="65"/>
      <c r="L21" s="65"/>
      <c r="M21" s="133" t="s">
        <v>789</v>
      </c>
      <c r="N21" s="136"/>
      <c r="O21" s="136" t="s">
        <v>897</v>
      </c>
      <c r="Q21" s="170" t="s">
        <v>898</v>
      </c>
      <c r="R21" s="169" t="s">
        <v>899</v>
      </c>
    </row>
    <row r="22" spans="1:18" ht="409.6">
      <c r="A22" s="25" t="s">
        <v>900</v>
      </c>
      <c r="B22" s="29" t="s">
        <v>857</v>
      </c>
      <c r="C22" s="30" t="s">
        <v>901</v>
      </c>
      <c r="D22" s="31" t="s">
        <v>873</v>
      </c>
      <c r="E22" s="32" t="s">
        <v>902</v>
      </c>
      <c r="F22" s="30" t="s">
        <v>882</v>
      </c>
      <c r="G22" s="25" t="s">
        <v>100</v>
      </c>
      <c r="H22" s="24" t="s">
        <v>14</v>
      </c>
      <c r="I22" s="84"/>
      <c r="J22" s="30" t="s">
        <v>85</v>
      </c>
      <c r="K22" s="65"/>
      <c r="L22" s="65"/>
      <c r="M22" s="133" t="s">
        <v>789</v>
      </c>
      <c r="N22" s="136"/>
      <c r="O22" s="136" t="s">
        <v>903</v>
      </c>
      <c r="Q22" s="170" t="s">
        <v>904</v>
      </c>
      <c r="R22" s="169" t="s">
        <v>905</v>
      </c>
    </row>
    <row r="23" spans="1:18" ht="409.6">
      <c r="A23" s="25" t="s">
        <v>906</v>
      </c>
      <c r="B23" s="29" t="s">
        <v>857</v>
      </c>
      <c r="C23" s="30" t="s">
        <v>907</v>
      </c>
      <c r="D23" s="31" t="s">
        <v>888</v>
      </c>
      <c r="E23" s="32" t="s">
        <v>908</v>
      </c>
      <c r="F23" s="30" t="s">
        <v>909</v>
      </c>
      <c r="G23" s="25" t="s">
        <v>100</v>
      </c>
      <c r="H23" s="24" t="s">
        <v>14</v>
      </c>
      <c r="I23" s="84"/>
      <c r="J23" s="30" t="s">
        <v>85</v>
      </c>
      <c r="K23" s="65"/>
      <c r="L23" s="65"/>
      <c r="M23" s="133" t="s">
        <v>789</v>
      </c>
      <c r="N23" s="136"/>
      <c r="O23" s="136" t="s">
        <v>891</v>
      </c>
      <c r="Q23" s="170" t="s">
        <v>910</v>
      </c>
      <c r="R23" s="169" t="s">
        <v>911</v>
      </c>
    </row>
    <row r="24" spans="1:18" ht="409.6">
      <c r="A24" s="25" t="s">
        <v>912</v>
      </c>
      <c r="B24" s="155" t="s">
        <v>913</v>
      </c>
      <c r="C24" s="30" t="s">
        <v>914</v>
      </c>
      <c r="D24" s="31" t="s">
        <v>915</v>
      </c>
      <c r="E24" s="32" t="s">
        <v>916</v>
      </c>
      <c r="F24" s="30" t="s">
        <v>917</v>
      </c>
      <c r="G24" s="25" t="s">
        <v>100</v>
      </c>
      <c r="H24" s="24" t="s">
        <v>14</v>
      </c>
      <c r="I24" s="50"/>
      <c r="J24" s="30" t="s">
        <v>85</v>
      </c>
      <c r="K24" s="65" t="s">
        <v>86</v>
      </c>
      <c r="L24" s="65" t="s">
        <v>86</v>
      </c>
      <c r="M24" s="133" t="s">
        <v>789</v>
      </c>
      <c r="N24" s="136"/>
      <c r="Q24" s="170" t="s">
        <v>918</v>
      </c>
      <c r="R24" s="169" t="s">
        <v>919</v>
      </c>
    </row>
    <row r="25" spans="1:18" ht="386.25">
      <c r="A25" s="25" t="s">
        <v>920</v>
      </c>
      <c r="B25" s="155" t="s">
        <v>913</v>
      </c>
      <c r="C25" s="26" t="s">
        <v>921</v>
      </c>
      <c r="D25" s="27" t="s">
        <v>915</v>
      </c>
      <c r="E25" s="28" t="s">
        <v>922</v>
      </c>
      <c r="F25" s="155" t="s">
        <v>923</v>
      </c>
      <c r="G25" s="25" t="s">
        <v>100</v>
      </c>
      <c r="H25" s="24" t="s">
        <v>14</v>
      </c>
      <c r="I25" s="49"/>
      <c r="J25" s="30" t="s">
        <v>85</v>
      </c>
      <c r="K25" s="65" t="s">
        <v>86</v>
      </c>
      <c r="L25" s="65" t="s">
        <v>86</v>
      </c>
      <c r="M25" s="133" t="s">
        <v>924</v>
      </c>
      <c r="N25" s="136" t="s">
        <v>925</v>
      </c>
      <c r="P25" s="10" t="s">
        <v>100</v>
      </c>
      <c r="Q25" s="170" t="s">
        <v>926</v>
      </c>
      <c r="R25" s="169" t="s">
        <v>927</v>
      </c>
    </row>
    <row r="26" spans="1:18" ht="345">
      <c r="A26" s="25" t="s">
        <v>928</v>
      </c>
      <c r="B26" s="155" t="s">
        <v>913</v>
      </c>
      <c r="C26" s="26" t="s">
        <v>929</v>
      </c>
      <c r="D26" s="27" t="s">
        <v>915</v>
      </c>
      <c r="E26" s="28" t="s">
        <v>930</v>
      </c>
      <c r="F26" s="155" t="s">
        <v>931</v>
      </c>
      <c r="G26" s="25" t="s">
        <v>100</v>
      </c>
      <c r="H26" s="24" t="s">
        <v>14</v>
      </c>
      <c r="I26" s="49"/>
      <c r="J26" s="30" t="s">
        <v>85</v>
      </c>
      <c r="K26" s="65"/>
      <c r="L26" s="65"/>
      <c r="M26" s="133" t="s">
        <v>789</v>
      </c>
      <c r="N26" s="136"/>
      <c r="Q26" s="170" t="s">
        <v>932</v>
      </c>
      <c r="R26" s="169" t="s">
        <v>933</v>
      </c>
    </row>
    <row r="27" spans="1:18" ht="409.6">
      <c r="A27" s="25" t="s">
        <v>934</v>
      </c>
      <c r="B27" s="155" t="s">
        <v>913</v>
      </c>
      <c r="C27" s="26" t="s">
        <v>935</v>
      </c>
      <c r="D27" s="27" t="s">
        <v>915</v>
      </c>
      <c r="E27" s="28" t="s">
        <v>936</v>
      </c>
      <c r="F27" s="155" t="s">
        <v>937</v>
      </c>
      <c r="G27" s="25" t="s">
        <v>100</v>
      </c>
      <c r="H27" s="24" t="s">
        <v>14</v>
      </c>
      <c r="I27" s="49"/>
      <c r="J27" s="30" t="s">
        <v>85</v>
      </c>
      <c r="K27" s="65"/>
      <c r="L27" s="65"/>
      <c r="M27" s="133" t="s">
        <v>789</v>
      </c>
      <c r="N27" s="136"/>
      <c r="Q27" s="170" t="s">
        <v>938</v>
      </c>
      <c r="R27" s="169" t="s">
        <v>939</v>
      </c>
    </row>
    <row r="28" spans="1:18" ht="409.6">
      <c r="A28" s="25" t="s">
        <v>940</v>
      </c>
      <c r="B28" s="155" t="s">
        <v>913</v>
      </c>
      <c r="C28" s="26" t="s">
        <v>941</v>
      </c>
      <c r="D28" s="27" t="s">
        <v>915</v>
      </c>
      <c r="E28" s="28" t="s">
        <v>942</v>
      </c>
      <c r="F28" s="29" t="s">
        <v>943</v>
      </c>
      <c r="G28" s="25" t="s">
        <v>100</v>
      </c>
      <c r="H28" s="24" t="s">
        <v>14</v>
      </c>
      <c r="I28" s="49"/>
      <c r="J28" s="30" t="s">
        <v>85</v>
      </c>
      <c r="K28" s="65"/>
      <c r="L28" s="65"/>
      <c r="M28" s="133" t="s">
        <v>789</v>
      </c>
      <c r="N28" s="136"/>
      <c r="O28" s="136" t="s">
        <v>944</v>
      </c>
      <c r="Q28" s="170" t="s">
        <v>945</v>
      </c>
      <c r="R28" s="169" t="s">
        <v>946</v>
      </c>
    </row>
    <row r="29" spans="1:18" ht="409.6">
      <c r="A29" s="25" t="s">
        <v>947</v>
      </c>
      <c r="B29" s="155" t="s">
        <v>913</v>
      </c>
      <c r="C29" s="26" t="s">
        <v>948</v>
      </c>
      <c r="D29" s="27" t="s">
        <v>915</v>
      </c>
      <c r="E29" s="28" t="s">
        <v>949</v>
      </c>
      <c r="F29" s="155" t="s">
        <v>950</v>
      </c>
      <c r="G29" s="25" t="s">
        <v>100</v>
      </c>
      <c r="H29" s="24" t="s">
        <v>14</v>
      </c>
      <c r="I29" s="49"/>
      <c r="J29" s="30" t="s">
        <v>85</v>
      </c>
      <c r="K29" s="65"/>
      <c r="L29" s="65"/>
      <c r="M29" s="133" t="s">
        <v>789</v>
      </c>
      <c r="N29" s="136"/>
      <c r="O29" s="136" t="s">
        <v>951</v>
      </c>
      <c r="Q29" s="170" t="s">
        <v>952</v>
      </c>
      <c r="R29" s="169" t="s">
        <v>953</v>
      </c>
    </row>
    <row r="30" spans="1:18" ht="409.6">
      <c r="A30" s="25" t="s">
        <v>954</v>
      </c>
      <c r="B30" s="155" t="s">
        <v>913</v>
      </c>
      <c r="C30" s="26" t="s">
        <v>955</v>
      </c>
      <c r="D30" s="27" t="s">
        <v>915</v>
      </c>
      <c r="E30" s="28" t="s">
        <v>956</v>
      </c>
      <c r="F30" s="29" t="s">
        <v>957</v>
      </c>
      <c r="G30" s="25" t="s">
        <v>100</v>
      </c>
      <c r="H30" s="24" t="s">
        <v>14</v>
      </c>
      <c r="I30" s="49"/>
      <c r="J30" s="30" t="s">
        <v>85</v>
      </c>
      <c r="K30" s="65"/>
      <c r="L30" s="65"/>
      <c r="M30" s="133" t="s">
        <v>828</v>
      </c>
      <c r="N30" s="136" t="s">
        <v>958</v>
      </c>
      <c r="Q30" s="170" t="s">
        <v>959</v>
      </c>
      <c r="R30" s="170" t="s">
        <v>960</v>
      </c>
    </row>
    <row r="31" spans="1:18" ht="409.6">
      <c r="A31" s="25" t="s">
        <v>961</v>
      </c>
      <c r="B31" s="155" t="s">
        <v>962</v>
      </c>
      <c r="C31" s="26" t="s">
        <v>963</v>
      </c>
      <c r="D31" s="27" t="s">
        <v>964</v>
      </c>
      <c r="E31" s="28" t="s">
        <v>965</v>
      </c>
      <c r="F31" s="155" t="s">
        <v>966</v>
      </c>
      <c r="G31" s="25" t="s">
        <v>100</v>
      </c>
      <c r="H31" s="24" t="s">
        <v>14</v>
      </c>
      <c r="I31" s="49"/>
      <c r="J31" s="30" t="s">
        <v>85</v>
      </c>
      <c r="K31" s="65" t="s">
        <v>86</v>
      </c>
      <c r="L31" s="65" t="s">
        <v>86</v>
      </c>
      <c r="M31" s="133" t="s">
        <v>789</v>
      </c>
      <c r="N31" s="136"/>
      <c r="Q31" s="170" t="s">
        <v>967</v>
      </c>
      <c r="R31" s="169" t="s">
        <v>968</v>
      </c>
    </row>
    <row r="32" spans="1:18" ht="386.25">
      <c r="A32" s="25" t="s">
        <v>969</v>
      </c>
      <c r="B32" s="155" t="s">
        <v>962</v>
      </c>
      <c r="C32" s="26" t="s">
        <v>970</v>
      </c>
      <c r="D32" s="27" t="s">
        <v>971</v>
      </c>
      <c r="E32" s="28" t="s">
        <v>972</v>
      </c>
      <c r="F32" s="155" t="s">
        <v>973</v>
      </c>
      <c r="G32" s="25" t="s">
        <v>100</v>
      </c>
      <c r="H32" s="24" t="s">
        <v>14</v>
      </c>
      <c r="I32" s="84"/>
      <c r="J32" s="30" t="s">
        <v>85</v>
      </c>
      <c r="K32" s="65"/>
      <c r="L32" s="65"/>
      <c r="M32" s="133" t="s">
        <v>789</v>
      </c>
      <c r="N32" s="136"/>
      <c r="O32" s="166" t="s">
        <v>974</v>
      </c>
      <c r="Q32" s="170" t="s">
        <v>975</v>
      </c>
      <c r="R32" s="169" t="s">
        <v>976</v>
      </c>
    </row>
    <row r="33" spans="1:18" ht="409.6">
      <c r="A33" s="25" t="s">
        <v>977</v>
      </c>
      <c r="B33" s="155" t="s">
        <v>962</v>
      </c>
      <c r="C33" s="30" t="s">
        <v>978</v>
      </c>
      <c r="D33" s="31" t="s">
        <v>979</v>
      </c>
      <c r="E33" s="32" t="s">
        <v>980</v>
      </c>
      <c r="F33" s="30" t="s">
        <v>981</v>
      </c>
      <c r="G33" s="25" t="s">
        <v>100</v>
      </c>
      <c r="H33" s="24" t="s">
        <v>14</v>
      </c>
      <c r="I33" s="49"/>
      <c r="J33" s="30" t="s">
        <v>85</v>
      </c>
      <c r="K33" s="65"/>
      <c r="L33" s="65"/>
      <c r="M33" s="133" t="s">
        <v>789</v>
      </c>
      <c r="N33" s="136"/>
      <c r="Q33" s="170" t="s">
        <v>982</v>
      </c>
      <c r="R33" s="169" t="s">
        <v>983</v>
      </c>
    </row>
    <row r="34" spans="1:18" ht="409.6">
      <c r="A34" s="25" t="s">
        <v>984</v>
      </c>
      <c r="B34" s="155" t="s">
        <v>962</v>
      </c>
      <c r="C34" s="30" t="s">
        <v>985</v>
      </c>
      <c r="D34" s="31" t="s">
        <v>979</v>
      </c>
      <c r="E34" s="32" t="s">
        <v>986</v>
      </c>
      <c r="F34" s="30" t="s">
        <v>981</v>
      </c>
      <c r="G34" s="25" t="s">
        <v>100</v>
      </c>
      <c r="H34" s="24" t="s">
        <v>14</v>
      </c>
      <c r="I34" s="84"/>
      <c r="J34" s="30" t="s">
        <v>85</v>
      </c>
      <c r="K34" s="65"/>
      <c r="L34" s="65"/>
      <c r="M34" s="133" t="s">
        <v>789</v>
      </c>
      <c r="N34" s="136"/>
      <c r="Q34" s="170" t="s">
        <v>987</v>
      </c>
      <c r="R34" s="169" t="s">
        <v>988</v>
      </c>
    </row>
    <row r="35" spans="1:18" ht="409.6">
      <c r="A35" s="25" t="s">
        <v>989</v>
      </c>
      <c r="B35" s="30" t="s">
        <v>990</v>
      </c>
      <c r="C35" s="30" t="s">
        <v>991</v>
      </c>
      <c r="D35" s="31" t="s">
        <v>979</v>
      </c>
      <c r="E35" s="32" t="s">
        <v>992</v>
      </c>
      <c r="F35" s="30" t="s">
        <v>981</v>
      </c>
      <c r="G35" s="25" t="s">
        <v>100</v>
      </c>
      <c r="H35" s="24" t="s">
        <v>14</v>
      </c>
      <c r="I35" s="49"/>
      <c r="J35" s="30" t="s">
        <v>85</v>
      </c>
      <c r="K35" s="65"/>
      <c r="L35" s="65"/>
      <c r="M35" s="133" t="s">
        <v>789</v>
      </c>
      <c r="N35" s="136"/>
      <c r="Q35" s="170" t="s">
        <v>993</v>
      </c>
      <c r="R35" s="169" t="s">
        <v>994</v>
      </c>
    </row>
    <row r="36" spans="1:18" ht="409.6">
      <c r="A36" s="25" t="s">
        <v>995</v>
      </c>
      <c r="B36" s="30" t="s">
        <v>990</v>
      </c>
      <c r="C36" s="30" t="s">
        <v>996</v>
      </c>
      <c r="D36" s="31" t="s">
        <v>979</v>
      </c>
      <c r="E36" s="32" t="s">
        <v>997</v>
      </c>
      <c r="F36" s="30" t="s">
        <v>981</v>
      </c>
      <c r="G36" s="25" t="s">
        <v>100</v>
      </c>
      <c r="H36" s="24" t="s">
        <v>14</v>
      </c>
      <c r="I36" s="49"/>
      <c r="J36" s="30" t="s">
        <v>85</v>
      </c>
      <c r="K36" s="65"/>
      <c r="L36" s="65"/>
      <c r="M36" s="133" t="s">
        <v>789</v>
      </c>
      <c r="N36" s="136"/>
      <c r="O36" s="136" t="s">
        <v>944</v>
      </c>
      <c r="Q36" s="170" t="s">
        <v>998</v>
      </c>
      <c r="R36" s="169" t="s">
        <v>999</v>
      </c>
    </row>
    <row r="37" spans="1:18" ht="409.6">
      <c r="A37" s="25" t="s">
        <v>1000</v>
      </c>
      <c r="B37" s="30" t="s">
        <v>990</v>
      </c>
      <c r="C37" s="30" t="s">
        <v>1001</v>
      </c>
      <c r="D37" s="31" t="s">
        <v>1002</v>
      </c>
      <c r="E37" s="32" t="s">
        <v>1003</v>
      </c>
      <c r="F37" s="30" t="s">
        <v>1004</v>
      </c>
      <c r="G37" s="25" t="s">
        <v>100</v>
      </c>
      <c r="H37" s="24" t="s">
        <v>14</v>
      </c>
      <c r="I37" s="49"/>
      <c r="J37" s="30" t="s">
        <v>85</v>
      </c>
      <c r="K37" s="65"/>
      <c r="L37" s="65"/>
      <c r="M37" s="133" t="s">
        <v>828</v>
      </c>
      <c r="N37" s="136" t="s">
        <v>1005</v>
      </c>
      <c r="Q37" s="170" t="s">
        <v>1006</v>
      </c>
      <c r="R37" s="169" t="s">
        <v>1007</v>
      </c>
    </row>
    <row r="38" spans="1:18" ht="409.6">
      <c r="A38" s="25" t="s">
        <v>1008</v>
      </c>
      <c r="B38" s="30" t="s">
        <v>990</v>
      </c>
      <c r="C38" s="30" t="s">
        <v>1009</v>
      </c>
      <c r="D38" s="31" t="s">
        <v>1002</v>
      </c>
      <c r="E38" s="32" t="s">
        <v>1010</v>
      </c>
      <c r="F38" s="30" t="s">
        <v>1004</v>
      </c>
      <c r="G38" s="25" t="s">
        <v>100</v>
      </c>
      <c r="H38" s="24" t="s">
        <v>14</v>
      </c>
      <c r="I38" s="84" t="s">
        <v>1011</v>
      </c>
      <c r="J38" s="30" t="s">
        <v>85</v>
      </c>
      <c r="K38" s="65"/>
      <c r="L38" s="65"/>
      <c r="M38" s="133" t="s">
        <v>828</v>
      </c>
      <c r="N38" s="136" t="s">
        <v>1005</v>
      </c>
      <c r="Q38" s="170" t="s">
        <v>1012</v>
      </c>
      <c r="R38" s="169" t="s">
        <v>1013</v>
      </c>
    </row>
    <row r="39" spans="1:18" ht="409.6">
      <c r="A39" s="25" t="s">
        <v>1014</v>
      </c>
      <c r="B39" s="30" t="s">
        <v>990</v>
      </c>
      <c r="C39" s="30" t="s">
        <v>1015</v>
      </c>
      <c r="D39" s="31" t="s">
        <v>1002</v>
      </c>
      <c r="E39" s="32" t="s">
        <v>1016</v>
      </c>
      <c r="F39" s="30" t="s">
        <v>1004</v>
      </c>
      <c r="G39" s="25" t="s">
        <v>100</v>
      </c>
      <c r="H39" s="24" t="s">
        <v>14</v>
      </c>
      <c r="I39" s="49"/>
      <c r="J39" s="30" t="s">
        <v>85</v>
      </c>
      <c r="K39" s="65"/>
      <c r="L39" s="65"/>
      <c r="M39" s="133" t="s">
        <v>789</v>
      </c>
      <c r="N39" s="136"/>
      <c r="Q39" s="170" t="s">
        <v>1017</v>
      </c>
      <c r="R39" s="169" t="s">
        <v>1018</v>
      </c>
    </row>
    <row r="40" spans="1:18" ht="409.6">
      <c r="A40" s="25" t="s">
        <v>1019</v>
      </c>
      <c r="B40" s="30" t="s">
        <v>990</v>
      </c>
      <c r="C40" s="30" t="s">
        <v>1020</v>
      </c>
      <c r="D40" s="31" t="s">
        <v>1002</v>
      </c>
      <c r="E40" s="32" t="s">
        <v>1021</v>
      </c>
      <c r="F40" s="29" t="s">
        <v>1022</v>
      </c>
      <c r="G40" s="25" t="s">
        <v>100</v>
      </c>
      <c r="H40" s="24" t="s">
        <v>14</v>
      </c>
      <c r="I40" s="49"/>
      <c r="J40" s="30" t="s">
        <v>85</v>
      </c>
      <c r="K40" s="65"/>
      <c r="L40" s="65"/>
      <c r="M40" s="133" t="s">
        <v>828</v>
      </c>
      <c r="N40" s="136" t="s">
        <v>1005</v>
      </c>
      <c r="Q40" s="170" t="s">
        <v>1023</v>
      </c>
      <c r="R40" s="169" t="s">
        <v>1024</v>
      </c>
    </row>
    <row r="41" spans="1:18" s="87" customFormat="1" ht="409.6">
      <c r="A41" s="83" t="s">
        <v>1025</v>
      </c>
      <c r="B41" s="29" t="s">
        <v>1026</v>
      </c>
      <c r="C41" s="29" t="s">
        <v>1027</v>
      </c>
      <c r="D41" s="27" t="s">
        <v>1028</v>
      </c>
      <c r="E41" s="41" t="s">
        <v>1029</v>
      </c>
      <c r="F41" s="29" t="s">
        <v>1030</v>
      </c>
      <c r="G41" s="83" t="s">
        <v>100</v>
      </c>
      <c r="H41" s="24" t="s">
        <v>14</v>
      </c>
      <c r="I41" s="84"/>
      <c r="J41" s="29" t="s">
        <v>85</v>
      </c>
      <c r="K41" s="91"/>
      <c r="L41" s="91"/>
      <c r="M41" s="133" t="s">
        <v>789</v>
      </c>
      <c r="N41" s="136"/>
      <c r="Q41" s="170" t="s">
        <v>1031</v>
      </c>
      <c r="R41" s="169" t="s">
        <v>1032</v>
      </c>
    </row>
    <row r="42" spans="1:18" ht="409.6">
      <c r="A42" s="25" t="s">
        <v>1033</v>
      </c>
      <c r="B42" s="29" t="s">
        <v>1034</v>
      </c>
      <c r="C42" s="26" t="s">
        <v>1035</v>
      </c>
      <c r="D42" s="37" t="s">
        <v>1036</v>
      </c>
      <c r="E42" s="27" t="s">
        <v>1037</v>
      </c>
      <c r="F42" s="38" t="s">
        <v>1038</v>
      </c>
      <c r="G42" s="25" t="s">
        <v>100</v>
      </c>
      <c r="H42" s="24" t="s">
        <v>14</v>
      </c>
      <c r="I42" s="26"/>
      <c r="J42" s="30" t="s">
        <v>85</v>
      </c>
      <c r="K42" s="65" t="s">
        <v>86</v>
      </c>
      <c r="L42" s="65" t="s">
        <v>86</v>
      </c>
      <c r="M42" s="133" t="s">
        <v>789</v>
      </c>
      <c r="N42" s="136"/>
      <c r="Q42" s="170" t="s">
        <v>1039</v>
      </c>
      <c r="R42" s="169" t="s">
        <v>1040</v>
      </c>
    </row>
    <row r="43" spans="1:18" s="87" customFormat="1" ht="399.75">
      <c r="A43" s="83" t="s">
        <v>1041</v>
      </c>
      <c r="B43" s="29" t="s">
        <v>1034</v>
      </c>
      <c r="C43" s="29" t="s">
        <v>1042</v>
      </c>
      <c r="D43" s="37" t="s">
        <v>1036</v>
      </c>
      <c r="E43" s="27" t="s">
        <v>1043</v>
      </c>
      <c r="F43" s="38" t="s">
        <v>1044</v>
      </c>
      <c r="G43" s="83" t="s">
        <v>100</v>
      </c>
      <c r="H43" s="24" t="s">
        <v>14</v>
      </c>
      <c r="I43" s="29"/>
      <c r="J43" s="29" t="s">
        <v>85</v>
      </c>
      <c r="K43" s="91"/>
      <c r="L43" s="91"/>
      <c r="M43" s="133" t="s">
        <v>789</v>
      </c>
      <c r="N43" s="136"/>
      <c r="Q43" s="170" t="s">
        <v>1045</v>
      </c>
      <c r="R43" s="169" t="s">
        <v>1046</v>
      </c>
    </row>
    <row r="44" spans="1:18" s="87" customFormat="1" ht="409.6">
      <c r="A44" s="83" t="s">
        <v>1047</v>
      </c>
      <c r="B44" s="29" t="s">
        <v>1034</v>
      </c>
      <c r="C44" s="29" t="s">
        <v>1048</v>
      </c>
      <c r="D44" s="37" t="s">
        <v>1036</v>
      </c>
      <c r="E44" s="27" t="s">
        <v>1049</v>
      </c>
      <c r="F44" s="38" t="s">
        <v>1050</v>
      </c>
      <c r="G44" s="83" t="s">
        <v>100</v>
      </c>
      <c r="H44" s="24" t="s">
        <v>14</v>
      </c>
      <c r="I44" s="29"/>
      <c r="J44" s="29" t="s">
        <v>85</v>
      </c>
      <c r="K44" s="91"/>
      <c r="L44" s="91"/>
      <c r="M44" s="133" t="s">
        <v>828</v>
      </c>
      <c r="N44" s="136" t="s">
        <v>1005</v>
      </c>
      <c r="Q44" s="170" t="s">
        <v>1051</v>
      </c>
      <c r="R44" s="169" t="s">
        <v>1052</v>
      </c>
    </row>
    <row r="45" spans="1:18" ht="409.6">
      <c r="A45" s="25" t="s">
        <v>1053</v>
      </c>
      <c r="B45" s="29" t="s">
        <v>1034</v>
      </c>
      <c r="C45" s="26" t="s">
        <v>1054</v>
      </c>
      <c r="D45" s="37" t="s">
        <v>1055</v>
      </c>
      <c r="E45" s="153" t="s">
        <v>1056</v>
      </c>
      <c r="F45" s="154" t="s">
        <v>1057</v>
      </c>
      <c r="G45" s="25" t="s">
        <v>100</v>
      </c>
      <c r="H45" s="24" t="s">
        <v>14</v>
      </c>
      <c r="I45" s="26"/>
      <c r="J45" s="30" t="s">
        <v>85</v>
      </c>
      <c r="K45" s="65"/>
      <c r="L45" s="65"/>
      <c r="M45" s="133" t="s">
        <v>789</v>
      </c>
      <c r="N45" s="136"/>
      <c r="Q45" s="170" t="s">
        <v>1058</v>
      </c>
      <c r="R45" s="169" t="s">
        <v>1059</v>
      </c>
    </row>
    <row r="46" spans="1:18" ht="409.6">
      <c r="A46" s="25" t="s">
        <v>1060</v>
      </c>
      <c r="B46" s="29" t="s">
        <v>1034</v>
      </c>
      <c r="C46" s="26" t="s">
        <v>1061</v>
      </c>
      <c r="D46" s="37" t="s">
        <v>1055</v>
      </c>
      <c r="E46" s="28" t="s">
        <v>1062</v>
      </c>
      <c r="F46" s="155" t="s">
        <v>1063</v>
      </c>
      <c r="G46" s="25" t="s">
        <v>100</v>
      </c>
      <c r="H46" s="24" t="s">
        <v>14</v>
      </c>
      <c r="I46" s="26"/>
      <c r="J46" s="30" t="s">
        <v>85</v>
      </c>
      <c r="K46" s="65"/>
      <c r="L46" s="65"/>
      <c r="M46" s="133" t="s">
        <v>789</v>
      </c>
      <c r="N46" s="136"/>
      <c r="Q46" s="170" t="s">
        <v>1064</v>
      </c>
      <c r="R46" s="169" t="s">
        <v>1065</v>
      </c>
    </row>
    <row r="47" spans="1:18" ht="331.5">
      <c r="A47" s="25" t="s">
        <v>1066</v>
      </c>
      <c r="B47" s="41" t="s">
        <v>1067</v>
      </c>
      <c r="C47" s="32" t="s">
        <v>1068</v>
      </c>
      <c r="D47" s="37" t="s">
        <v>1055</v>
      </c>
      <c r="E47" s="32" t="s">
        <v>1069</v>
      </c>
      <c r="F47" s="32" t="s">
        <v>1070</v>
      </c>
      <c r="G47" s="25" t="s">
        <v>100</v>
      </c>
      <c r="H47" s="24" t="s">
        <v>14</v>
      </c>
      <c r="I47" s="26"/>
      <c r="J47" s="30" t="s">
        <v>85</v>
      </c>
      <c r="K47" s="65"/>
      <c r="L47" s="65"/>
      <c r="M47" s="133" t="s">
        <v>789</v>
      </c>
      <c r="N47" s="136"/>
      <c r="Q47" s="170" t="s">
        <v>1071</v>
      </c>
      <c r="R47" s="169" t="s">
        <v>1072</v>
      </c>
    </row>
    <row r="48" spans="1:18" ht="345">
      <c r="A48" s="25" t="s">
        <v>1073</v>
      </c>
      <c r="B48" s="41" t="s">
        <v>1067</v>
      </c>
      <c r="C48" s="32" t="s">
        <v>1074</v>
      </c>
      <c r="D48" s="37" t="s">
        <v>1055</v>
      </c>
      <c r="E48" s="32" t="s">
        <v>1075</v>
      </c>
      <c r="F48" s="32" t="s">
        <v>1076</v>
      </c>
      <c r="G48" s="25" t="s">
        <v>100</v>
      </c>
      <c r="H48" s="24" t="s">
        <v>14</v>
      </c>
      <c r="I48" s="26"/>
      <c r="J48" s="30" t="s">
        <v>85</v>
      </c>
      <c r="K48" s="65"/>
      <c r="L48" s="65"/>
      <c r="M48" s="133" t="s">
        <v>789</v>
      </c>
      <c r="N48" s="136"/>
      <c r="Q48" s="170" t="s">
        <v>1077</v>
      </c>
      <c r="R48" s="169" t="s">
        <v>1078</v>
      </c>
    </row>
    <row r="49" spans="1:18" ht="386.25">
      <c r="A49" s="25" t="s">
        <v>1079</v>
      </c>
      <c r="B49" s="41" t="s">
        <v>1067</v>
      </c>
      <c r="C49" s="32" t="s">
        <v>1080</v>
      </c>
      <c r="D49" s="37" t="s">
        <v>1055</v>
      </c>
      <c r="E49" s="32" t="s">
        <v>1081</v>
      </c>
      <c r="F49" s="32" t="s">
        <v>1082</v>
      </c>
      <c r="G49" s="25" t="s">
        <v>100</v>
      </c>
      <c r="H49" s="24" t="s">
        <v>14</v>
      </c>
      <c r="I49" s="26"/>
      <c r="J49" s="30" t="s">
        <v>85</v>
      </c>
      <c r="K49" s="65"/>
      <c r="L49" s="65"/>
      <c r="M49" s="133" t="s">
        <v>789</v>
      </c>
      <c r="N49" s="136"/>
      <c r="Q49" s="170" t="s">
        <v>1083</v>
      </c>
      <c r="R49" s="169" t="s">
        <v>1084</v>
      </c>
    </row>
    <row r="50" spans="1:18" ht="331.5">
      <c r="A50" s="25" t="s">
        <v>1085</v>
      </c>
      <c r="B50" s="41" t="s">
        <v>1067</v>
      </c>
      <c r="C50" s="32" t="s">
        <v>1086</v>
      </c>
      <c r="D50" s="37" t="s">
        <v>1055</v>
      </c>
      <c r="E50" s="32" t="s">
        <v>1087</v>
      </c>
      <c r="F50" s="32" t="s">
        <v>1088</v>
      </c>
      <c r="G50" s="25" t="s">
        <v>100</v>
      </c>
      <c r="H50" s="24" t="s">
        <v>14</v>
      </c>
      <c r="I50" s="26"/>
      <c r="J50" s="30" t="s">
        <v>85</v>
      </c>
      <c r="K50" s="65"/>
      <c r="L50" s="65"/>
      <c r="M50" s="133" t="s">
        <v>789</v>
      </c>
      <c r="N50" s="136"/>
      <c r="O50" s="136" t="s">
        <v>1089</v>
      </c>
      <c r="Q50" s="170" t="s">
        <v>1090</v>
      </c>
      <c r="R50" s="169" t="s">
        <v>1091</v>
      </c>
    </row>
    <row r="51" spans="1:18" ht="331.5">
      <c r="A51" s="25" t="s">
        <v>1092</v>
      </c>
      <c r="B51" s="41" t="s">
        <v>1067</v>
      </c>
      <c r="C51" s="32" t="s">
        <v>1093</v>
      </c>
      <c r="D51" s="37" t="s">
        <v>1055</v>
      </c>
      <c r="E51" s="32" t="s">
        <v>1094</v>
      </c>
      <c r="F51" s="32" t="s">
        <v>1095</v>
      </c>
      <c r="G51" s="25" t="s">
        <v>100</v>
      </c>
      <c r="H51" s="24" t="s">
        <v>14</v>
      </c>
      <c r="I51" s="26"/>
      <c r="J51" s="30" t="s">
        <v>85</v>
      </c>
      <c r="K51" s="65"/>
      <c r="L51" s="65"/>
      <c r="M51" s="133" t="s">
        <v>789</v>
      </c>
      <c r="N51" s="136"/>
      <c r="O51" s="136" t="s">
        <v>1089</v>
      </c>
      <c r="Q51" s="170" t="s">
        <v>1096</v>
      </c>
      <c r="R51" s="169" t="s">
        <v>1097</v>
      </c>
    </row>
    <row r="52" spans="1:18" ht="399.75">
      <c r="A52" s="25" t="s">
        <v>1098</v>
      </c>
      <c r="B52" s="41" t="s">
        <v>1067</v>
      </c>
      <c r="C52" s="32" t="s">
        <v>1099</v>
      </c>
      <c r="D52" s="37" t="s">
        <v>1055</v>
      </c>
      <c r="E52" s="32" t="s">
        <v>1100</v>
      </c>
      <c r="F52" s="155" t="s">
        <v>1101</v>
      </c>
      <c r="G52" s="25" t="s">
        <v>100</v>
      </c>
      <c r="H52" s="24" t="s">
        <v>14</v>
      </c>
      <c r="I52" s="29"/>
      <c r="J52" s="30" t="s">
        <v>85</v>
      </c>
      <c r="K52" s="65" t="s">
        <v>86</v>
      </c>
      <c r="L52" s="65" t="s">
        <v>86</v>
      </c>
      <c r="M52" s="133" t="s">
        <v>828</v>
      </c>
      <c r="N52" s="136" t="s">
        <v>1005</v>
      </c>
      <c r="Q52" s="170" t="s">
        <v>1102</v>
      </c>
      <c r="R52" s="169" t="s">
        <v>1103</v>
      </c>
    </row>
    <row r="53" spans="1:18" ht="372.75">
      <c r="A53" s="25" t="s">
        <v>1104</v>
      </c>
      <c r="B53" s="41" t="s">
        <v>1067</v>
      </c>
      <c r="C53" s="32" t="s">
        <v>1105</v>
      </c>
      <c r="D53" s="37" t="s">
        <v>1055</v>
      </c>
      <c r="E53" s="32" t="s">
        <v>1106</v>
      </c>
      <c r="F53" s="155" t="s">
        <v>1107</v>
      </c>
      <c r="G53" s="25" t="s">
        <v>100</v>
      </c>
      <c r="H53" s="24" t="s">
        <v>14</v>
      </c>
      <c r="I53" s="26"/>
      <c r="J53" s="30" t="s">
        <v>85</v>
      </c>
      <c r="K53" s="65"/>
      <c r="L53" s="65"/>
      <c r="M53" s="133" t="s">
        <v>789</v>
      </c>
      <c r="N53" s="136"/>
      <c r="O53" s="136" t="s">
        <v>1089</v>
      </c>
      <c r="Q53" s="170" t="s">
        <v>1108</v>
      </c>
      <c r="R53" s="169" t="s">
        <v>1109</v>
      </c>
    </row>
    <row r="54" spans="1:18" ht="372.75">
      <c r="A54" s="25" t="s">
        <v>1110</v>
      </c>
      <c r="B54" s="41" t="s">
        <v>1067</v>
      </c>
      <c r="C54" s="32" t="s">
        <v>1111</v>
      </c>
      <c r="D54" s="37" t="s">
        <v>1055</v>
      </c>
      <c r="E54" s="32" t="s">
        <v>1112</v>
      </c>
      <c r="F54" s="155" t="s">
        <v>1113</v>
      </c>
      <c r="G54" s="25" t="s">
        <v>100</v>
      </c>
      <c r="H54" s="24" t="s">
        <v>14</v>
      </c>
      <c r="I54" s="29"/>
      <c r="J54" s="30" t="s">
        <v>85</v>
      </c>
      <c r="K54" s="65"/>
      <c r="L54" s="65"/>
      <c r="M54" s="133" t="s">
        <v>789</v>
      </c>
      <c r="N54" s="136"/>
      <c r="Q54" s="170" t="s">
        <v>1114</v>
      </c>
      <c r="R54" s="169" t="s">
        <v>1115</v>
      </c>
    </row>
    <row r="55" spans="1:18" ht="372.75">
      <c r="A55" s="25" t="s">
        <v>1116</v>
      </c>
      <c r="B55" s="41" t="s">
        <v>1067</v>
      </c>
      <c r="C55" s="32" t="s">
        <v>1117</v>
      </c>
      <c r="D55" s="37" t="s">
        <v>1055</v>
      </c>
      <c r="E55" s="32" t="s">
        <v>1118</v>
      </c>
      <c r="F55" s="155" t="s">
        <v>1113</v>
      </c>
      <c r="G55" s="25" t="s">
        <v>100</v>
      </c>
      <c r="H55" s="24" t="s">
        <v>14</v>
      </c>
      <c r="I55" s="26"/>
      <c r="J55" s="30" t="s">
        <v>85</v>
      </c>
      <c r="K55" s="65"/>
      <c r="L55" s="65"/>
      <c r="M55" s="133" t="s">
        <v>789</v>
      </c>
      <c r="N55" s="151"/>
      <c r="Q55" s="170" t="s">
        <v>1119</v>
      </c>
      <c r="R55" s="169" t="s">
        <v>1120</v>
      </c>
    </row>
    <row r="56" spans="1:18" ht="345">
      <c r="A56" s="25" t="s">
        <v>1121</v>
      </c>
      <c r="B56" s="41" t="s">
        <v>1067</v>
      </c>
      <c r="C56" s="32" t="s">
        <v>1122</v>
      </c>
      <c r="D56" s="37" t="s">
        <v>1055</v>
      </c>
      <c r="E56" s="32" t="s">
        <v>1123</v>
      </c>
      <c r="F56" s="155" t="s">
        <v>1113</v>
      </c>
      <c r="G56" s="25" t="s">
        <v>100</v>
      </c>
      <c r="H56" s="24" t="s">
        <v>14</v>
      </c>
      <c r="I56" s="26"/>
      <c r="J56" s="30" t="s">
        <v>85</v>
      </c>
      <c r="K56" s="65"/>
      <c r="L56" s="65"/>
      <c r="M56" s="133" t="s">
        <v>789</v>
      </c>
      <c r="N56" s="151"/>
      <c r="Q56" s="170" t="s">
        <v>1124</v>
      </c>
      <c r="R56" s="169" t="s">
        <v>1125</v>
      </c>
    </row>
    <row r="57" spans="1:18" ht="386.25">
      <c r="A57" s="25" t="s">
        <v>1126</v>
      </c>
      <c r="B57" s="41" t="s">
        <v>1067</v>
      </c>
      <c r="C57" s="32" t="s">
        <v>1127</v>
      </c>
      <c r="D57" s="37" t="s">
        <v>1055</v>
      </c>
      <c r="E57" s="32" t="s">
        <v>1128</v>
      </c>
      <c r="F57" s="155" t="s">
        <v>1113</v>
      </c>
      <c r="G57" s="25" t="s">
        <v>100</v>
      </c>
      <c r="H57" s="24" t="s">
        <v>14</v>
      </c>
      <c r="I57" s="26"/>
      <c r="J57" s="30" t="s">
        <v>85</v>
      </c>
      <c r="K57" s="65"/>
      <c r="L57" s="65"/>
      <c r="M57" s="133" t="s">
        <v>789</v>
      </c>
      <c r="N57" s="151"/>
      <c r="Q57" s="170" t="s">
        <v>1129</v>
      </c>
      <c r="R57" s="169" t="s">
        <v>1130</v>
      </c>
    </row>
    <row r="58" spans="1:18" s="87" customFormat="1" ht="409.6">
      <c r="A58" s="83" t="s">
        <v>1131</v>
      </c>
      <c r="B58" s="41" t="s">
        <v>1067</v>
      </c>
      <c r="C58" s="41" t="s">
        <v>1132</v>
      </c>
      <c r="D58" s="37" t="s">
        <v>1055</v>
      </c>
      <c r="E58" s="41" t="s">
        <v>1133</v>
      </c>
      <c r="F58" s="29" t="s">
        <v>1134</v>
      </c>
      <c r="G58" s="83" t="s">
        <v>100</v>
      </c>
      <c r="H58" s="24" t="s">
        <v>14</v>
      </c>
      <c r="I58" s="29"/>
      <c r="J58" s="29" t="s">
        <v>85</v>
      </c>
      <c r="K58" s="91" t="s">
        <v>86</v>
      </c>
      <c r="L58" s="91" t="s">
        <v>86</v>
      </c>
      <c r="M58" s="133" t="s">
        <v>789</v>
      </c>
      <c r="N58" s="151"/>
      <c r="Q58" s="170" t="s">
        <v>1135</v>
      </c>
      <c r="R58" s="169" t="s">
        <v>1136</v>
      </c>
    </row>
    <row r="59" spans="1:18" ht="409.6">
      <c r="A59" s="25" t="s">
        <v>1137</v>
      </c>
      <c r="B59" s="41" t="s">
        <v>1067</v>
      </c>
      <c r="C59" s="156" t="s">
        <v>1138</v>
      </c>
      <c r="D59" s="37" t="s">
        <v>1055</v>
      </c>
      <c r="E59" s="28" t="s">
        <v>1139</v>
      </c>
      <c r="F59" s="157" t="s">
        <v>1140</v>
      </c>
      <c r="G59" s="25" t="s">
        <v>100</v>
      </c>
      <c r="H59" s="24" t="s">
        <v>14</v>
      </c>
      <c r="I59" s="29"/>
      <c r="J59" s="30" t="s">
        <v>85</v>
      </c>
      <c r="K59" s="91" t="s">
        <v>86</v>
      </c>
      <c r="L59" s="91" t="s">
        <v>86</v>
      </c>
      <c r="M59" s="133" t="s">
        <v>789</v>
      </c>
      <c r="N59" s="151"/>
      <c r="Q59" s="170" t="s">
        <v>1141</v>
      </c>
      <c r="R59" s="169" t="s">
        <v>1142</v>
      </c>
    </row>
    <row r="60" spans="1:18" s="87" customFormat="1" ht="409.6">
      <c r="A60" s="83" t="s">
        <v>1143</v>
      </c>
      <c r="B60" s="41" t="s">
        <v>1067</v>
      </c>
      <c r="C60" s="88" t="s">
        <v>1144</v>
      </c>
      <c r="D60" s="37" t="s">
        <v>1055</v>
      </c>
      <c r="E60" s="88" t="s">
        <v>1145</v>
      </c>
      <c r="F60" s="46" t="s">
        <v>1146</v>
      </c>
      <c r="G60" s="83" t="s">
        <v>100</v>
      </c>
      <c r="H60" s="24" t="s">
        <v>14</v>
      </c>
      <c r="I60" s="29"/>
      <c r="J60" s="29" t="s">
        <v>85</v>
      </c>
      <c r="K60" s="91"/>
      <c r="L60" s="91"/>
      <c r="M60" s="133" t="s">
        <v>789</v>
      </c>
      <c r="N60" s="151"/>
      <c r="Q60" s="170" t="s">
        <v>1147</v>
      </c>
      <c r="R60" s="169" t="s">
        <v>1148</v>
      </c>
    </row>
    <row r="61" spans="1:18" ht="409.6">
      <c r="A61" s="25" t="s">
        <v>1149</v>
      </c>
      <c r="B61" s="41" t="s">
        <v>1067</v>
      </c>
      <c r="C61" s="156" t="s">
        <v>914</v>
      </c>
      <c r="D61" s="44" t="s">
        <v>1150</v>
      </c>
      <c r="E61" s="45" t="s">
        <v>1151</v>
      </c>
      <c r="F61" s="46" t="s">
        <v>1152</v>
      </c>
      <c r="G61" s="47" t="s">
        <v>100</v>
      </c>
      <c r="H61" s="24" t="s">
        <v>14</v>
      </c>
      <c r="I61" s="52"/>
      <c r="J61" s="30" t="s">
        <v>85</v>
      </c>
      <c r="K61" s="65"/>
      <c r="L61" s="65"/>
      <c r="M61" s="133" t="s">
        <v>924</v>
      </c>
      <c r="N61" s="151" t="s">
        <v>1153</v>
      </c>
      <c r="O61" s="166" t="s">
        <v>1154</v>
      </c>
      <c r="P61" s="10" t="s">
        <v>1155</v>
      </c>
      <c r="Q61" s="170" t="s">
        <v>1156</v>
      </c>
      <c r="R61" s="169" t="s">
        <v>1157</v>
      </c>
    </row>
    <row r="62" spans="1:18" ht="409.6">
      <c r="A62" s="25" t="s">
        <v>1158</v>
      </c>
      <c r="B62" s="88" t="s">
        <v>1159</v>
      </c>
      <c r="C62" s="156" t="s">
        <v>1160</v>
      </c>
      <c r="D62" s="44" t="s">
        <v>1161</v>
      </c>
      <c r="E62" s="45" t="s">
        <v>1162</v>
      </c>
      <c r="F62" s="46" t="s">
        <v>1163</v>
      </c>
      <c r="G62" s="47" t="s">
        <v>100</v>
      </c>
      <c r="H62" s="24" t="s">
        <v>14</v>
      </c>
      <c r="I62" s="52"/>
      <c r="J62" s="30" t="s">
        <v>85</v>
      </c>
      <c r="K62" s="65"/>
      <c r="L62" s="65"/>
      <c r="M62" s="133" t="s">
        <v>828</v>
      </c>
      <c r="N62" s="151" t="s">
        <v>1164</v>
      </c>
      <c r="Q62" s="170" t="s">
        <v>1165</v>
      </c>
      <c r="R62" s="169" t="s">
        <v>1166</v>
      </c>
    </row>
    <row r="63" spans="1:18" ht="409.6">
      <c r="A63" s="25" t="s">
        <v>1167</v>
      </c>
      <c r="B63" s="88" t="s">
        <v>1159</v>
      </c>
      <c r="C63" s="32" t="s">
        <v>1168</v>
      </c>
      <c r="D63" s="37" t="s">
        <v>1150</v>
      </c>
      <c r="E63" s="28" t="s">
        <v>1169</v>
      </c>
      <c r="F63" s="29" t="s">
        <v>1170</v>
      </c>
      <c r="G63" s="25" t="s">
        <v>100</v>
      </c>
      <c r="H63" s="24" t="s">
        <v>14</v>
      </c>
      <c r="I63" s="52"/>
      <c r="J63" s="30" t="s">
        <v>85</v>
      </c>
      <c r="K63" s="65"/>
      <c r="L63" s="65"/>
      <c r="M63" s="133" t="s">
        <v>789</v>
      </c>
      <c r="N63" s="151"/>
      <c r="Q63" s="170" t="s">
        <v>1171</v>
      </c>
      <c r="R63" s="169" t="s">
        <v>1172</v>
      </c>
    </row>
    <row r="64" spans="1:18" s="11" customFormat="1" ht="409.6">
      <c r="A64" s="25" t="s">
        <v>1173</v>
      </c>
      <c r="B64" s="88" t="s">
        <v>1159</v>
      </c>
      <c r="C64" s="30"/>
      <c r="D64" s="31" t="s">
        <v>1174</v>
      </c>
      <c r="E64" s="41" t="s">
        <v>1175</v>
      </c>
      <c r="F64" s="30" t="s">
        <v>1176</v>
      </c>
      <c r="G64" s="53" t="s">
        <v>100</v>
      </c>
      <c r="H64" s="24" t="s">
        <v>14</v>
      </c>
      <c r="I64" s="54"/>
      <c r="J64" s="30" t="s">
        <v>85</v>
      </c>
      <c r="K64" s="90"/>
      <c r="L64" s="90"/>
      <c r="M64" s="133" t="s">
        <v>828</v>
      </c>
      <c r="N64" s="151" t="s">
        <v>1164</v>
      </c>
      <c r="Q64" s="170" t="s">
        <v>1177</v>
      </c>
      <c r="R64" s="169" t="s">
        <v>1166</v>
      </c>
    </row>
    <row r="65" spans="1:18" s="11" customFormat="1" ht="409.6">
      <c r="A65" s="25" t="s">
        <v>1178</v>
      </c>
      <c r="B65" s="88" t="s">
        <v>1159</v>
      </c>
      <c r="C65" s="30"/>
      <c r="D65" s="31" t="s">
        <v>888</v>
      </c>
      <c r="E65" s="32" t="s">
        <v>1179</v>
      </c>
      <c r="F65" s="30" t="s">
        <v>1180</v>
      </c>
      <c r="G65" s="53" t="s">
        <v>100</v>
      </c>
      <c r="H65" s="24" t="s">
        <v>14</v>
      </c>
      <c r="I65" s="84"/>
      <c r="J65" s="30" t="s">
        <v>85</v>
      </c>
      <c r="K65" s="90"/>
      <c r="L65" s="90"/>
      <c r="M65" s="133" t="s">
        <v>828</v>
      </c>
      <c r="N65" s="151" t="s">
        <v>1164</v>
      </c>
      <c r="Q65" s="170" t="s">
        <v>1181</v>
      </c>
      <c r="R65" s="169" t="s">
        <v>1166</v>
      </c>
    </row>
    <row r="66" spans="1:18" s="11" customFormat="1" ht="409.6">
      <c r="A66" s="25" t="s">
        <v>1182</v>
      </c>
      <c r="B66" s="88" t="s">
        <v>1159</v>
      </c>
      <c r="C66" s="30"/>
      <c r="D66" s="31" t="s">
        <v>1055</v>
      </c>
      <c r="E66" s="32" t="s">
        <v>1183</v>
      </c>
      <c r="F66" s="30" t="s">
        <v>1184</v>
      </c>
      <c r="G66" s="53" t="s">
        <v>100</v>
      </c>
      <c r="H66" s="24" t="s">
        <v>14</v>
      </c>
      <c r="I66" s="54"/>
      <c r="J66" s="30" t="s">
        <v>85</v>
      </c>
      <c r="K66" s="90"/>
      <c r="L66" s="90"/>
      <c r="M66" s="133" t="s">
        <v>828</v>
      </c>
      <c r="N66" s="151" t="s">
        <v>1164</v>
      </c>
      <c r="Q66" s="170" t="s">
        <v>1185</v>
      </c>
      <c r="R66" s="169" t="s">
        <v>1166</v>
      </c>
    </row>
    <row r="67" spans="1:18" s="11" customFormat="1" ht="409.6">
      <c r="A67" s="25" t="s">
        <v>1186</v>
      </c>
      <c r="B67" s="88" t="s">
        <v>1159</v>
      </c>
      <c r="C67" s="32"/>
      <c r="D67" s="31" t="s">
        <v>1174</v>
      </c>
      <c r="E67" s="41" t="s">
        <v>1187</v>
      </c>
      <c r="F67" s="30" t="s">
        <v>1188</v>
      </c>
      <c r="G67" s="53" t="s">
        <v>100</v>
      </c>
      <c r="H67" s="24" t="s">
        <v>14</v>
      </c>
      <c r="I67" s="55"/>
      <c r="J67" s="30" t="s">
        <v>85</v>
      </c>
      <c r="K67" s="90"/>
      <c r="L67" s="90"/>
      <c r="M67" s="133" t="s">
        <v>828</v>
      </c>
      <c r="N67" s="151" t="s">
        <v>1164</v>
      </c>
      <c r="Q67" s="170" t="s">
        <v>1189</v>
      </c>
      <c r="R67" s="169" t="s">
        <v>1166</v>
      </c>
    </row>
    <row r="68" spans="1:18" s="11" customFormat="1" ht="409.6">
      <c r="A68" s="25" t="s">
        <v>1190</v>
      </c>
      <c r="B68" s="88" t="s">
        <v>1159</v>
      </c>
      <c r="C68" s="32"/>
      <c r="D68" s="31" t="s">
        <v>888</v>
      </c>
      <c r="E68" s="32" t="s">
        <v>1191</v>
      </c>
      <c r="F68" s="30" t="s">
        <v>1192</v>
      </c>
      <c r="G68" s="53" t="s">
        <v>100</v>
      </c>
      <c r="H68" s="24" t="s">
        <v>14</v>
      </c>
      <c r="I68" s="92"/>
      <c r="J68" s="30" t="s">
        <v>85</v>
      </c>
      <c r="K68" s="90"/>
      <c r="L68" s="90"/>
      <c r="M68" s="133" t="s">
        <v>828</v>
      </c>
      <c r="N68" s="151" t="s">
        <v>1164</v>
      </c>
      <c r="Q68" s="170" t="s">
        <v>1193</v>
      </c>
      <c r="R68" s="169" t="s">
        <v>1166</v>
      </c>
    </row>
    <row r="69" spans="1:18" s="11" customFormat="1" ht="409.6">
      <c r="A69" s="25" t="s">
        <v>1194</v>
      </c>
      <c r="B69" s="88" t="s">
        <v>1159</v>
      </c>
      <c r="C69" s="32"/>
      <c r="D69" s="31" t="s">
        <v>1055</v>
      </c>
      <c r="E69" s="32" t="s">
        <v>1195</v>
      </c>
      <c r="F69" s="30" t="s">
        <v>1184</v>
      </c>
      <c r="G69" s="53" t="s">
        <v>100</v>
      </c>
      <c r="H69" s="24" t="s">
        <v>14</v>
      </c>
      <c r="I69" s="55"/>
      <c r="J69" s="30" t="s">
        <v>85</v>
      </c>
      <c r="K69" s="90"/>
      <c r="L69" s="90"/>
      <c r="M69" s="133" t="s">
        <v>828</v>
      </c>
      <c r="N69" s="151" t="s">
        <v>1164</v>
      </c>
      <c r="Q69" s="170" t="s">
        <v>1196</v>
      </c>
      <c r="R69" s="169" t="s">
        <v>1166</v>
      </c>
    </row>
    <row r="70" spans="1:18" s="87" customFormat="1" ht="409.6">
      <c r="A70" s="83" t="s">
        <v>1197</v>
      </c>
      <c r="B70" s="29" t="s">
        <v>857</v>
      </c>
      <c r="C70" s="29" t="s">
        <v>1198</v>
      </c>
      <c r="D70" s="29" t="s">
        <v>1199</v>
      </c>
      <c r="E70" s="29" t="s">
        <v>1200</v>
      </c>
      <c r="F70" s="29" t="s">
        <v>1201</v>
      </c>
      <c r="G70" s="83" t="s">
        <v>100</v>
      </c>
      <c r="H70" s="24" t="s">
        <v>14</v>
      </c>
      <c r="I70" s="84"/>
      <c r="J70" s="29" t="s">
        <v>85</v>
      </c>
      <c r="K70" s="91" t="s">
        <v>86</v>
      </c>
      <c r="L70" s="91" t="s">
        <v>86</v>
      </c>
      <c r="M70" s="133" t="s">
        <v>828</v>
      </c>
      <c r="N70" s="136" t="s">
        <v>1202</v>
      </c>
      <c r="Q70" s="170" t="s">
        <v>1203</v>
      </c>
      <c r="R70" s="169" t="s">
        <v>1204</v>
      </c>
    </row>
    <row r="71" spans="1:18" s="87" customFormat="1" ht="409.6">
      <c r="A71" s="83" t="s">
        <v>1205</v>
      </c>
      <c r="B71" s="41" t="s">
        <v>785</v>
      </c>
      <c r="C71" s="41" t="s">
        <v>1206</v>
      </c>
      <c r="D71" s="37" t="s">
        <v>1207</v>
      </c>
      <c r="E71" s="41" t="s">
        <v>1208</v>
      </c>
      <c r="F71" s="29" t="s">
        <v>1209</v>
      </c>
      <c r="G71" s="83" t="s">
        <v>100</v>
      </c>
      <c r="H71" s="24" t="s">
        <v>14</v>
      </c>
      <c r="I71" s="92"/>
      <c r="J71" s="29" t="s">
        <v>85</v>
      </c>
      <c r="K71" s="91"/>
      <c r="L71" s="91"/>
      <c r="M71" s="133" t="s">
        <v>789</v>
      </c>
      <c r="N71" s="136"/>
      <c r="Q71" s="170" t="s">
        <v>1210</v>
      </c>
      <c r="R71" s="169" t="s">
        <v>1211</v>
      </c>
    </row>
    <row r="72" spans="1:18" s="87" customFormat="1" ht="409.6">
      <c r="A72" s="83" t="s">
        <v>1212</v>
      </c>
      <c r="B72" s="41" t="s">
        <v>1067</v>
      </c>
      <c r="C72" s="41" t="s">
        <v>1213</v>
      </c>
      <c r="D72" s="37" t="s">
        <v>1214</v>
      </c>
      <c r="E72" s="41" t="s">
        <v>1215</v>
      </c>
      <c r="F72" s="29" t="s">
        <v>1216</v>
      </c>
      <c r="G72" s="83" t="s">
        <v>100</v>
      </c>
      <c r="H72" s="24" t="s">
        <v>14</v>
      </c>
      <c r="I72" s="93"/>
      <c r="J72" s="29" t="s">
        <v>85</v>
      </c>
      <c r="K72" s="91"/>
      <c r="L72" s="91"/>
      <c r="M72" s="133" t="s">
        <v>789</v>
      </c>
      <c r="N72" s="136"/>
      <c r="Q72" s="170" t="s">
        <v>1217</v>
      </c>
      <c r="R72" s="169" t="s">
        <v>1218</v>
      </c>
    </row>
    <row r="73" spans="1:18" s="87" customFormat="1" ht="409.6">
      <c r="A73" s="83" t="s">
        <v>1219</v>
      </c>
      <c r="B73" s="41" t="s">
        <v>1067</v>
      </c>
      <c r="C73" s="41" t="s">
        <v>1220</v>
      </c>
      <c r="D73" s="37" t="s">
        <v>1207</v>
      </c>
      <c r="E73" s="41" t="s">
        <v>1221</v>
      </c>
      <c r="F73" s="29" t="s">
        <v>1222</v>
      </c>
      <c r="G73" s="83" t="s">
        <v>100</v>
      </c>
      <c r="H73" s="24" t="s">
        <v>14</v>
      </c>
      <c r="I73" s="92"/>
      <c r="J73" s="29" t="s">
        <v>85</v>
      </c>
      <c r="K73" s="91"/>
      <c r="L73" s="91"/>
      <c r="M73" s="133" t="s">
        <v>789</v>
      </c>
      <c r="N73" s="136"/>
      <c r="Q73" s="170" t="s">
        <v>1223</v>
      </c>
      <c r="R73" s="169" t="s">
        <v>1224</v>
      </c>
    </row>
    <row r="74" spans="1:18" s="87" customFormat="1" ht="409.6">
      <c r="A74" s="83" t="s">
        <v>1225</v>
      </c>
      <c r="B74" s="29" t="s">
        <v>857</v>
      </c>
      <c r="C74" s="41" t="s">
        <v>1226</v>
      </c>
      <c r="D74" s="37" t="s">
        <v>1227</v>
      </c>
      <c r="E74" s="41" t="s">
        <v>1228</v>
      </c>
      <c r="F74" s="29" t="s">
        <v>1229</v>
      </c>
      <c r="G74" s="83" t="s">
        <v>100</v>
      </c>
      <c r="H74" s="24" t="s">
        <v>14</v>
      </c>
      <c r="I74" s="92"/>
      <c r="J74" s="29" t="s">
        <v>85</v>
      </c>
      <c r="K74" s="91"/>
      <c r="L74" s="91"/>
      <c r="M74" s="133" t="s">
        <v>789</v>
      </c>
      <c r="N74" s="136"/>
      <c r="Q74" s="170" t="s">
        <v>1230</v>
      </c>
      <c r="R74" s="169" t="s">
        <v>1231</v>
      </c>
    </row>
    <row r="75" spans="1:18">
      <c r="M75" s="133"/>
      <c r="N75" s="136"/>
    </row>
    <row r="76" spans="1:18">
      <c r="M76" s="133"/>
      <c r="N76" s="136"/>
    </row>
    <row r="77" spans="1:18">
      <c r="M77" s="133"/>
      <c r="N77" s="136"/>
    </row>
    <row r="78" spans="1:18">
      <c r="M78" s="133"/>
      <c r="N78" s="136"/>
    </row>
    <row r="79" spans="1:18">
      <c r="M79" s="133"/>
      <c r="N79" s="136"/>
    </row>
    <row r="80" spans="1:18">
      <c r="M80" s="133"/>
      <c r="N80" s="136"/>
    </row>
    <row r="81" spans="13:13">
      <c r="M81" s="133"/>
    </row>
    <row r="82" spans="13:13">
      <c r="M82" s="133"/>
    </row>
    <row r="83" spans="13:13">
      <c r="M83" s="133"/>
    </row>
    <row r="84" spans="13:13">
      <c r="M84" s="133"/>
    </row>
    <row r="85" spans="13:13">
      <c r="M85" s="133"/>
    </row>
    <row r="86" spans="13:13">
      <c r="M86" s="133"/>
    </row>
    <row r="87" spans="13:13">
      <c r="M87" s="133"/>
    </row>
    <row r="88" spans="13:13">
      <c r="M88" s="133"/>
    </row>
    <row r="89" spans="13:13">
      <c r="M89" s="133"/>
    </row>
    <row r="90" spans="13:13">
      <c r="M90" s="133"/>
    </row>
    <row r="91" spans="13:13">
      <c r="M91" s="133"/>
    </row>
    <row r="92" spans="13:13">
      <c r="M92" s="133"/>
    </row>
    <row r="93" spans="13:13">
      <c r="M93" s="133"/>
    </row>
    <row r="94" spans="13:13">
      <c r="M94" s="133"/>
    </row>
    <row r="95" spans="13:13">
      <c r="M95" s="133"/>
    </row>
    <row r="96" spans="13:13">
      <c r="M96" s="133"/>
    </row>
    <row r="97" spans="13:14">
      <c r="M97" s="133"/>
      <c r="N97" s="136"/>
    </row>
    <row r="98" spans="13:14">
      <c r="M98" s="133"/>
      <c r="N98" s="136"/>
    </row>
    <row r="99" spans="13:14">
      <c r="M99" s="133"/>
      <c r="N99" s="136"/>
    </row>
    <row r="100" spans="13:14">
      <c r="M100" s="133"/>
      <c r="N100" s="136"/>
    </row>
    <row r="101" spans="13:14">
      <c r="M101" s="133"/>
      <c r="N101" s="136"/>
    </row>
    <row r="102" spans="13:14">
      <c r="M102" s="133"/>
      <c r="N102" s="151"/>
    </row>
    <row r="103" spans="13:14">
      <c r="M103" s="133"/>
      <c r="N103" s="136"/>
    </row>
    <row r="104" spans="13:14">
      <c r="M104" s="133"/>
      <c r="N104" s="136"/>
    </row>
    <row r="105" spans="13:14">
      <c r="M105" s="133"/>
      <c r="N105" s="136"/>
    </row>
    <row r="106" spans="13:14">
      <c r="M106" s="133"/>
      <c r="N106" s="136"/>
    </row>
    <row r="107" spans="13:14">
      <c r="M107" s="133"/>
      <c r="N107" s="136"/>
    </row>
    <row r="108" spans="13:14">
      <c r="M108" s="133"/>
      <c r="N108" s="136"/>
    </row>
    <row r="109" spans="13:14">
      <c r="M109" s="133"/>
      <c r="N109" s="136"/>
    </row>
    <row r="110" spans="13:14">
      <c r="M110" s="133"/>
      <c r="N110" s="136"/>
    </row>
    <row r="111" spans="13:14">
      <c r="M111" s="133"/>
      <c r="N111" s="136"/>
    </row>
    <row r="112" spans="13:14">
      <c r="M112" s="133"/>
      <c r="N112" s="136"/>
    </row>
    <row r="113" spans="13:13">
      <c r="M113" s="133"/>
    </row>
    <row r="114" spans="13:13">
      <c r="M114" s="133"/>
    </row>
  </sheetData>
  <sheetProtection formatCells="0" formatColumns="0" formatRows="0" insertColumns="0" insertRows="0" insertHyperlinks="0" deleteColumns="0" deleteRows="0" sort="0" autoFilter="0" pivotTables="0"/>
  <autoFilter ref="A1:O74" xr:uid="{00000000-0001-0000-04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autoFilter>
  <mergeCells count="2">
    <mergeCell ref="A1:L1"/>
    <mergeCell ref="B3:F3"/>
  </mergeCells>
  <phoneticPr fontId="25" type="noConversion"/>
  <conditionalFormatting sqref="H5:H74">
    <cfRule type="cellIs" dxfId="29" priority="58" operator="equal">
      <formula>"N/A"</formula>
    </cfRule>
    <cfRule type="cellIs" dxfId="28" priority="59" stopIfTrue="1" operator="equal">
      <formula>"Pass"</formula>
    </cfRule>
    <cfRule type="cellIs" dxfId="27" priority="60" stopIfTrue="1" operator="equal">
      <formula>"Fail"</formula>
    </cfRule>
  </conditionalFormatting>
  <dataValidations count="4">
    <dataValidation type="list" allowBlank="1" showErrorMessage="1" errorTitle="错误提示" error="请输入下拉列表中的值" sqref="G5:G1048576" xr:uid="{00000000-0002-0000-0400-000000000000}">
      <formula1>"P0,P1,P2"</formula1>
    </dataValidation>
    <dataValidation type="list" allowBlank="1" showInputMessage="1" showErrorMessage="1" errorTitle="错误提示" error="请输入下拉列表中的值" sqref="H5:H1048576" xr:uid="{00000000-0002-0000-0400-000001000000}">
      <formula1>"Pass,Fail,N/A"</formula1>
    </dataValidation>
    <dataValidation type="list" allowBlank="1" showInputMessage="1" showErrorMessage="1" sqref="M75:M114" xr:uid="{7A3867A4-73E2-5646-A98A-7992548CA59A}">
      <formula1>"Yes,No,Todo"</formula1>
    </dataValidation>
    <dataValidation type="list" showInputMessage="1" showErrorMessage="1" sqref="M5:M74" xr:uid="{BBFA82C1-A22B-4FBC-8452-CFD1E67E8EFD}">
      <formula1>"可以实现,不可实现,需再评估确认"</formula1>
    </dataValidation>
  </dataValidations>
  <pageMargins left="0.75" right="0.75" top="1" bottom="1" header="0.5" footer="0.5"/>
  <pageSetup paperSize="9" scale="51" orientation="portrait"/>
  <ignoredErrors>
    <ignoredError sqref="G75:G1048563 G5:G72 G1" listDataValidation="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4"/>
  <sheetViews>
    <sheetView view="pageBreakPreview" zoomScaleNormal="90" workbookViewId="0">
      <pane ySplit="4" topLeftCell="A20" activePane="bottomLeft" state="frozen"/>
      <selection pane="bottomLeft" activeCell="M8" sqref="M8"/>
    </sheetView>
  </sheetViews>
  <sheetFormatPr defaultColWidth="8.625" defaultRowHeight="14.1"/>
  <cols>
    <col min="1" max="1" width="13.875" customWidth="1"/>
    <col min="2" max="2" width="13" customWidth="1"/>
    <col min="3" max="3" width="16" customWidth="1"/>
    <col min="4" max="4" width="23.5" customWidth="1"/>
    <col min="5" max="5" width="23.375" customWidth="1"/>
    <col min="6" max="6" width="31" customWidth="1"/>
    <col min="7" max="7" width="9.625" customWidth="1"/>
    <col min="8" max="8" width="11.5" customWidth="1"/>
    <col min="11" max="11" width="12.5" style="57" bestFit="1" customWidth="1"/>
    <col min="12" max="12" width="13.875" style="57" bestFit="1" customWidth="1"/>
  </cols>
  <sheetData>
    <row r="1" spans="1:14" ht="30" customHeight="1">
      <c r="A1" s="172" t="s">
        <v>1232</v>
      </c>
      <c r="B1" s="172"/>
      <c r="C1" s="172"/>
      <c r="D1" s="172"/>
      <c r="E1" s="172"/>
      <c r="F1" s="172"/>
      <c r="G1" s="172"/>
      <c r="H1" s="172"/>
      <c r="I1" s="172"/>
      <c r="J1" s="172"/>
      <c r="K1" s="136"/>
      <c r="L1" s="136"/>
    </row>
    <row r="2" spans="1:14" ht="31.5" customHeight="1">
      <c r="A2" s="12" t="s">
        <v>60</v>
      </c>
      <c r="B2" s="13" t="str">
        <f>IF(Summary!B3="","",Summary!B3)</f>
        <v/>
      </c>
      <c r="C2" s="12" t="s">
        <v>61</v>
      </c>
      <c r="D2" s="13" t="str">
        <f>IF(Summary!B4="","",Summary!B4)</f>
        <v/>
      </c>
      <c r="E2" s="12" t="s">
        <v>8</v>
      </c>
      <c r="F2" s="14" t="str">
        <f>IF(Summary!B8="","",Summary!B8)</f>
        <v/>
      </c>
      <c r="G2" s="15" t="s">
        <v>11</v>
      </c>
      <c r="H2" s="16" t="s">
        <v>12</v>
      </c>
      <c r="I2" s="16" t="s">
        <v>13</v>
      </c>
      <c r="J2" s="15" t="s">
        <v>14</v>
      </c>
      <c r="K2" s="136"/>
      <c r="L2" s="136"/>
    </row>
    <row r="3" spans="1:14" ht="41.25" customHeight="1">
      <c r="A3" s="16" t="s">
        <v>62</v>
      </c>
      <c r="B3" s="173"/>
      <c r="C3" s="174"/>
      <c r="D3" s="174"/>
      <c r="E3" s="174"/>
      <c r="F3" s="175"/>
      <c r="G3" s="17">
        <f>COUNTIFS(A:A,"*")-4</f>
        <v>25</v>
      </c>
      <c r="H3" s="17">
        <f>COUNTIFS($H4:$H463,H2)</f>
        <v>3</v>
      </c>
      <c r="I3" s="17">
        <f>COUNTIFS($H4:$H463,I2)</f>
        <v>5</v>
      </c>
      <c r="J3" s="17">
        <f>COUNTIFS($H4:$H463,J2)</f>
        <v>17</v>
      </c>
      <c r="K3" s="136"/>
      <c r="L3"/>
    </row>
    <row r="4" spans="1:14" ht="13.5">
      <c r="A4" s="137" t="s">
        <v>63</v>
      </c>
      <c r="B4" s="137" t="s">
        <v>64</v>
      </c>
      <c r="C4" s="18" t="s">
        <v>65</v>
      </c>
      <c r="D4" s="18" t="s">
        <v>66</v>
      </c>
      <c r="E4" s="138" t="s">
        <v>67</v>
      </c>
      <c r="F4" s="137" t="s">
        <v>68</v>
      </c>
      <c r="G4" s="137" t="s">
        <v>48</v>
      </c>
      <c r="H4" s="137" t="s">
        <v>69</v>
      </c>
      <c r="I4" s="137" t="s">
        <v>70</v>
      </c>
      <c r="J4" s="139" t="s">
        <v>71</v>
      </c>
      <c r="K4" s="132" t="s">
        <v>74</v>
      </c>
      <c r="L4" s="132" t="s">
        <v>75</v>
      </c>
      <c r="M4" s="132" t="s">
        <v>782</v>
      </c>
      <c r="N4" s="132" t="s">
        <v>783</v>
      </c>
    </row>
    <row r="5" spans="1:14" ht="195">
      <c r="A5" s="25" t="s">
        <v>1233</v>
      </c>
      <c r="B5" s="29" t="s">
        <v>31</v>
      </c>
      <c r="C5" s="30" t="s">
        <v>1234</v>
      </c>
      <c r="D5" s="81" t="s">
        <v>1235</v>
      </c>
      <c r="E5" s="31" t="s">
        <v>1236</v>
      </c>
      <c r="F5" s="82" t="s">
        <v>1237</v>
      </c>
      <c r="G5" s="25" t="s">
        <v>100</v>
      </c>
      <c r="H5" s="24" t="s">
        <v>12</v>
      </c>
      <c r="I5" s="49"/>
      <c r="J5" s="30" t="s">
        <v>85</v>
      </c>
      <c r="K5" s="133" t="s">
        <v>828</v>
      </c>
      <c r="L5" s="133"/>
    </row>
    <row r="6" spans="1:14" ht="195">
      <c r="A6" s="25" t="s">
        <v>1238</v>
      </c>
      <c r="B6" s="29" t="s">
        <v>31</v>
      </c>
      <c r="C6" s="29" t="s">
        <v>1239</v>
      </c>
      <c r="D6" s="81" t="s">
        <v>1240</v>
      </c>
      <c r="E6" s="27" t="s">
        <v>1241</v>
      </c>
      <c r="F6" s="38" t="s">
        <v>1242</v>
      </c>
      <c r="G6" s="25" t="s">
        <v>100</v>
      </c>
      <c r="H6" s="24" t="s">
        <v>13</v>
      </c>
      <c r="I6" s="84" t="s">
        <v>1243</v>
      </c>
      <c r="J6" s="30" t="s">
        <v>85</v>
      </c>
      <c r="K6" s="133" t="s">
        <v>828</v>
      </c>
      <c r="L6" s="136"/>
    </row>
    <row r="7" spans="1:14" ht="195">
      <c r="A7" s="25" t="s">
        <v>1244</v>
      </c>
      <c r="B7" s="29" t="s">
        <v>31</v>
      </c>
      <c r="C7" s="29" t="s">
        <v>1245</v>
      </c>
      <c r="D7" s="37" t="s">
        <v>1246</v>
      </c>
      <c r="E7" s="27" t="s">
        <v>1247</v>
      </c>
      <c r="F7" s="38" t="s">
        <v>1248</v>
      </c>
      <c r="G7" s="25" t="s">
        <v>100</v>
      </c>
      <c r="H7" s="24" t="s">
        <v>13</v>
      </c>
      <c r="I7" s="84" t="s">
        <v>1249</v>
      </c>
      <c r="J7" s="30" t="s">
        <v>85</v>
      </c>
      <c r="K7" s="133" t="s">
        <v>828</v>
      </c>
      <c r="L7" s="136"/>
    </row>
    <row r="8" spans="1:14" ht="195">
      <c r="A8" s="25" t="s">
        <v>1244</v>
      </c>
      <c r="B8" s="29" t="s">
        <v>31</v>
      </c>
      <c r="C8" s="29" t="s">
        <v>1245</v>
      </c>
      <c r="D8" s="37" t="s">
        <v>1250</v>
      </c>
      <c r="E8" s="27" t="s">
        <v>1251</v>
      </c>
      <c r="F8" s="38" t="s">
        <v>1252</v>
      </c>
      <c r="G8" s="25" t="s">
        <v>100</v>
      </c>
      <c r="H8" s="24" t="s">
        <v>13</v>
      </c>
      <c r="I8" s="84" t="s">
        <v>1249</v>
      </c>
      <c r="J8" s="30" t="s">
        <v>85</v>
      </c>
      <c r="K8" s="133" t="s">
        <v>828</v>
      </c>
      <c r="L8" s="136"/>
    </row>
    <row r="9" spans="1:14" s="80" customFormat="1" ht="200.1">
      <c r="A9" s="25" t="s">
        <v>1253</v>
      </c>
      <c r="B9" s="29" t="s">
        <v>31</v>
      </c>
      <c r="C9" s="29" t="s">
        <v>1254</v>
      </c>
      <c r="D9" s="37" t="s">
        <v>1255</v>
      </c>
      <c r="E9" s="27" t="s">
        <v>1256</v>
      </c>
      <c r="F9" s="38" t="s">
        <v>1257</v>
      </c>
      <c r="G9" s="83" t="s">
        <v>100</v>
      </c>
      <c r="H9" s="158" t="s">
        <v>13</v>
      </c>
      <c r="I9" s="84" t="s">
        <v>1258</v>
      </c>
      <c r="J9" s="29" t="s">
        <v>85</v>
      </c>
      <c r="K9" s="133" t="s">
        <v>828</v>
      </c>
      <c r="L9" s="136"/>
    </row>
    <row r="10" spans="1:14" s="80" customFormat="1" ht="200.1">
      <c r="A10" s="25" t="s">
        <v>1259</v>
      </c>
      <c r="B10" s="29" t="s">
        <v>31</v>
      </c>
      <c r="C10" s="29" t="s">
        <v>1260</v>
      </c>
      <c r="D10" s="37" t="s">
        <v>1261</v>
      </c>
      <c r="E10" s="27" t="s">
        <v>1262</v>
      </c>
      <c r="F10" s="38" t="s">
        <v>1263</v>
      </c>
      <c r="G10" s="83" t="s">
        <v>100</v>
      </c>
      <c r="H10" s="158" t="s">
        <v>12</v>
      </c>
      <c r="I10" s="84"/>
      <c r="J10" s="29" t="s">
        <v>85</v>
      </c>
      <c r="K10" s="133" t="s">
        <v>828</v>
      </c>
      <c r="L10" s="136"/>
    </row>
    <row r="11" spans="1:14" ht="200.1">
      <c r="A11" s="25" t="s">
        <v>1264</v>
      </c>
      <c r="B11" s="29" t="s">
        <v>31</v>
      </c>
      <c r="C11" s="29" t="s">
        <v>1265</v>
      </c>
      <c r="D11" s="37" t="s">
        <v>1266</v>
      </c>
      <c r="E11" s="27" t="s">
        <v>1267</v>
      </c>
      <c r="F11" s="38" t="s">
        <v>1268</v>
      </c>
      <c r="G11" s="83" t="s">
        <v>100</v>
      </c>
      <c r="H11" s="158" t="s">
        <v>13</v>
      </c>
      <c r="I11" s="84" t="s">
        <v>1269</v>
      </c>
      <c r="J11" s="29" t="s">
        <v>85</v>
      </c>
      <c r="K11" s="133" t="s">
        <v>828</v>
      </c>
      <c r="L11" s="136"/>
    </row>
    <row r="12" spans="1:14" ht="200.1">
      <c r="A12" s="25" t="s">
        <v>1270</v>
      </c>
      <c r="B12" s="29" t="s">
        <v>31</v>
      </c>
      <c r="C12" s="29" t="s">
        <v>1271</v>
      </c>
      <c r="D12" s="37" t="s">
        <v>1272</v>
      </c>
      <c r="E12" s="27" t="s">
        <v>1273</v>
      </c>
      <c r="F12" s="38" t="s">
        <v>1274</v>
      </c>
      <c r="G12" s="83" t="s">
        <v>100</v>
      </c>
      <c r="H12" s="158" t="s">
        <v>12</v>
      </c>
      <c r="I12" s="85"/>
      <c r="J12" s="29" t="s">
        <v>85</v>
      </c>
      <c r="K12" s="133" t="s">
        <v>828</v>
      </c>
      <c r="L12" s="136"/>
    </row>
    <row r="13" spans="1:14" ht="200.1">
      <c r="A13" s="25" t="s">
        <v>1275</v>
      </c>
      <c r="B13" s="29" t="s">
        <v>31</v>
      </c>
      <c r="C13" s="29" t="s">
        <v>1276</v>
      </c>
      <c r="D13" s="37" t="s">
        <v>1277</v>
      </c>
      <c r="E13" s="27" t="s">
        <v>1278</v>
      </c>
      <c r="F13" s="38" t="s">
        <v>1279</v>
      </c>
      <c r="G13" s="83" t="s">
        <v>100</v>
      </c>
      <c r="H13" s="158" t="s">
        <v>14</v>
      </c>
      <c r="I13" s="85"/>
      <c r="J13" s="29" t="s">
        <v>85</v>
      </c>
      <c r="K13" s="133" t="s">
        <v>828</v>
      </c>
      <c r="L13" s="136"/>
    </row>
    <row r="14" spans="1:14" ht="200.1">
      <c r="A14" s="25" t="s">
        <v>1280</v>
      </c>
      <c r="B14" s="29" t="s">
        <v>31</v>
      </c>
      <c r="C14" s="29" t="s">
        <v>1281</v>
      </c>
      <c r="D14" s="37" t="s">
        <v>1282</v>
      </c>
      <c r="E14" s="27" t="s">
        <v>1283</v>
      </c>
      <c r="F14" s="38" t="s">
        <v>1284</v>
      </c>
      <c r="G14" s="83" t="s">
        <v>100</v>
      </c>
      <c r="H14" s="158" t="s">
        <v>14</v>
      </c>
      <c r="I14" s="85"/>
      <c r="J14" s="29" t="s">
        <v>85</v>
      </c>
      <c r="K14" s="133" t="s">
        <v>828</v>
      </c>
      <c r="L14" s="136"/>
    </row>
    <row r="15" spans="1:14" ht="200.1">
      <c r="A15" s="25" t="s">
        <v>1285</v>
      </c>
      <c r="B15" s="41" t="s">
        <v>32</v>
      </c>
      <c r="C15" s="41" t="s">
        <v>1286</v>
      </c>
      <c r="D15" s="27" t="s">
        <v>1287</v>
      </c>
      <c r="E15" s="27" t="s">
        <v>1288</v>
      </c>
      <c r="F15" s="38" t="s">
        <v>1289</v>
      </c>
      <c r="G15" s="83" t="s">
        <v>100</v>
      </c>
      <c r="H15" s="158" t="s">
        <v>14</v>
      </c>
      <c r="I15" s="85"/>
      <c r="J15" s="29" t="s">
        <v>85</v>
      </c>
      <c r="K15" s="133" t="s">
        <v>828</v>
      </c>
      <c r="L15" s="136"/>
    </row>
    <row r="16" spans="1:14" ht="186.95">
      <c r="A16" s="25" t="s">
        <v>1290</v>
      </c>
      <c r="B16" s="41" t="s">
        <v>32</v>
      </c>
      <c r="C16" s="41" t="s">
        <v>1291</v>
      </c>
      <c r="D16" s="27" t="s">
        <v>1287</v>
      </c>
      <c r="E16" s="27" t="s">
        <v>1288</v>
      </c>
      <c r="F16" s="38" t="s">
        <v>1292</v>
      </c>
      <c r="G16" s="83" t="s">
        <v>100</v>
      </c>
      <c r="H16" s="158" t="s">
        <v>14</v>
      </c>
      <c r="I16" s="84"/>
      <c r="J16" s="29" t="s">
        <v>85</v>
      </c>
      <c r="K16" s="133" t="s">
        <v>828</v>
      </c>
      <c r="L16" s="136"/>
    </row>
    <row r="17" spans="1:12" ht="152.25">
      <c r="A17" s="25" t="s">
        <v>1293</v>
      </c>
      <c r="B17" s="41" t="s">
        <v>32</v>
      </c>
      <c r="C17" s="41" t="s">
        <v>1294</v>
      </c>
      <c r="D17" s="27" t="s">
        <v>1287</v>
      </c>
      <c r="E17" s="27" t="s">
        <v>1288</v>
      </c>
      <c r="F17" s="38" t="s">
        <v>1295</v>
      </c>
      <c r="G17" s="83" t="s">
        <v>100</v>
      </c>
      <c r="H17" s="158" t="s">
        <v>14</v>
      </c>
      <c r="I17" s="84" t="s">
        <v>1296</v>
      </c>
      <c r="J17" s="29" t="s">
        <v>85</v>
      </c>
      <c r="K17" s="133" t="s">
        <v>828</v>
      </c>
      <c r="L17" s="151"/>
    </row>
    <row r="18" spans="1:12" ht="186.95">
      <c r="A18" s="25" t="s">
        <v>1297</v>
      </c>
      <c r="B18" s="41" t="s">
        <v>32</v>
      </c>
      <c r="C18" s="41" t="s">
        <v>1298</v>
      </c>
      <c r="D18" s="27" t="s">
        <v>1287</v>
      </c>
      <c r="E18" s="27" t="s">
        <v>1288</v>
      </c>
      <c r="F18" s="38" t="s">
        <v>1299</v>
      </c>
      <c r="G18" s="83" t="s">
        <v>100</v>
      </c>
      <c r="H18" s="158" t="s">
        <v>14</v>
      </c>
      <c r="I18" s="84" t="s">
        <v>1300</v>
      </c>
      <c r="J18" s="29" t="s">
        <v>85</v>
      </c>
      <c r="K18" s="133" t="s">
        <v>828</v>
      </c>
      <c r="L18" s="136"/>
    </row>
    <row r="19" spans="1:12" ht="186.95">
      <c r="A19" s="25" t="s">
        <v>1301</v>
      </c>
      <c r="B19" s="41" t="s">
        <v>32</v>
      </c>
      <c r="C19" s="41" t="s">
        <v>1302</v>
      </c>
      <c r="D19" s="27" t="s">
        <v>1287</v>
      </c>
      <c r="E19" s="27" t="s">
        <v>1288</v>
      </c>
      <c r="F19" s="38" t="s">
        <v>1299</v>
      </c>
      <c r="G19" s="83" t="s">
        <v>100</v>
      </c>
      <c r="H19" s="158" t="s">
        <v>14</v>
      </c>
      <c r="I19" s="84" t="s">
        <v>1303</v>
      </c>
      <c r="J19" s="29" t="s">
        <v>85</v>
      </c>
      <c r="K19" s="133" t="s">
        <v>828</v>
      </c>
      <c r="L19" s="136"/>
    </row>
    <row r="20" spans="1:12" ht="186.95">
      <c r="A20" s="25" t="s">
        <v>1304</v>
      </c>
      <c r="B20" s="41" t="s">
        <v>32</v>
      </c>
      <c r="C20" s="41" t="s">
        <v>1305</v>
      </c>
      <c r="D20" s="27" t="s">
        <v>1287</v>
      </c>
      <c r="E20" s="27" t="s">
        <v>1288</v>
      </c>
      <c r="F20" s="38" t="s">
        <v>1299</v>
      </c>
      <c r="G20" s="83" t="s">
        <v>100</v>
      </c>
      <c r="H20" s="158" t="s">
        <v>14</v>
      </c>
      <c r="I20" s="84"/>
      <c r="J20" s="29" t="s">
        <v>85</v>
      </c>
      <c r="K20" s="133" t="s">
        <v>828</v>
      </c>
      <c r="L20" s="136"/>
    </row>
    <row r="21" spans="1:12" ht="186.95">
      <c r="A21" s="25" t="s">
        <v>1306</v>
      </c>
      <c r="B21" s="41" t="s">
        <v>32</v>
      </c>
      <c r="C21" s="41" t="s">
        <v>1307</v>
      </c>
      <c r="D21" s="27" t="s">
        <v>1287</v>
      </c>
      <c r="E21" s="27" t="s">
        <v>1288</v>
      </c>
      <c r="F21" s="38" t="s">
        <v>1299</v>
      </c>
      <c r="G21" s="83" t="s">
        <v>100</v>
      </c>
      <c r="H21" s="158" t="s">
        <v>14</v>
      </c>
      <c r="I21" s="84"/>
      <c r="J21" s="29" t="s">
        <v>85</v>
      </c>
      <c r="K21" s="133" t="s">
        <v>828</v>
      </c>
      <c r="L21" s="136"/>
    </row>
    <row r="22" spans="1:12" ht="44.25">
      <c r="A22" s="25" t="s">
        <v>1308</v>
      </c>
      <c r="B22" s="41" t="s">
        <v>34</v>
      </c>
      <c r="C22" s="41" t="s">
        <v>1309</v>
      </c>
      <c r="D22" s="27" t="s">
        <v>1310</v>
      </c>
      <c r="E22" s="41" t="s">
        <v>1311</v>
      </c>
      <c r="F22" s="29" t="s">
        <v>1312</v>
      </c>
      <c r="G22" s="83" t="s">
        <v>100</v>
      </c>
      <c r="H22" s="158" t="s">
        <v>14</v>
      </c>
      <c r="I22" s="84"/>
      <c r="J22" s="29" t="s">
        <v>85</v>
      </c>
      <c r="K22" s="133" t="s">
        <v>828</v>
      </c>
      <c r="L22" t="s">
        <v>1313</v>
      </c>
    </row>
    <row r="23" spans="1:12" ht="44.25">
      <c r="A23" s="25" t="s">
        <v>1314</v>
      </c>
      <c r="B23" s="41" t="s">
        <v>34</v>
      </c>
      <c r="C23" s="41" t="s">
        <v>1315</v>
      </c>
      <c r="D23" s="27" t="s">
        <v>1316</v>
      </c>
      <c r="E23" s="41" t="s">
        <v>1317</v>
      </c>
      <c r="F23" s="29" t="s">
        <v>1318</v>
      </c>
      <c r="G23" s="83" t="s">
        <v>100</v>
      </c>
      <c r="H23" s="158" t="s">
        <v>14</v>
      </c>
      <c r="I23" s="86"/>
      <c r="J23" s="29" t="s">
        <v>85</v>
      </c>
      <c r="K23" s="133" t="s">
        <v>828</v>
      </c>
      <c r="L23" t="s">
        <v>1313</v>
      </c>
    </row>
    <row r="24" spans="1:12" ht="33">
      <c r="A24" s="25" t="s">
        <v>1319</v>
      </c>
      <c r="B24" s="41" t="s">
        <v>35</v>
      </c>
      <c r="C24" s="41" t="s">
        <v>1320</v>
      </c>
      <c r="D24" s="27" t="s">
        <v>1321</v>
      </c>
      <c r="E24" s="41" t="s">
        <v>1322</v>
      </c>
      <c r="F24" s="29" t="s">
        <v>1323</v>
      </c>
      <c r="G24" s="83" t="s">
        <v>100</v>
      </c>
      <c r="H24" s="158" t="s">
        <v>14</v>
      </c>
      <c r="I24" s="84" t="s">
        <v>1324</v>
      </c>
      <c r="J24" s="29" t="s">
        <v>85</v>
      </c>
      <c r="K24" s="133" t="s">
        <v>828</v>
      </c>
      <c r="L24" s="136" t="s">
        <v>1325</v>
      </c>
    </row>
    <row r="25" spans="1:12" ht="44.25">
      <c r="A25" s="25" t="s">
        <v>1326</v>
      </c>
      <c r="B25" s="41" t="s">
        <v>35</v>
      </c>
      <c r="C25" s="41" t="s">
        <v>1327</v>
      </c>
      <c r="D25" s="27" t="s">
        <v>1321</v>
      </c>
      <c r="E25" s="41" t="s">
        <v>1328</v>
      </c>
      <c r="F25" s="29" t="s">
        <v>1323</v>
      </c>
      <c r="G25" s="83" t="s">
        <v>100</v>
      </c>
      <c r="H25" s="158" t="s">
        <v>14</v>
      </c>
      <c r="I25" s="84"/>
      <c r="J25" s="29" t="s">
        <v>85</v>
      </c>
      <c r="K25" s="133" t="s">
        <v>828</v>
      </c>
      <c r="L25" s="136" t="s">
        <v>1325</v>
      </c>
    </row>
    <row r="26" spans="1:12" ht="51.95">
      <c r="A26" s="25" t="s">
        <v>1329</v>
      </c>
      <c r="B26" s="41" t="s">
        <v>33</v>
      </c>
      <c r="C26" s="41" t="s">
        <v>1330</v>
      </c>
      <c r="D26" s="27" t="s">
        <v>1331</v>
      </c>
      <c r="E26" s="41" t="s">
        <v>1332</v>
      </c>
      <c r="F26" s="29" t="s">
        <v>1333</v>
      </c>
      <c r="G26" s="83" t="s">
        <v>100</v>
      </c>
      <c r="H26" s="158" t="s">
        <v>14</v>
      </c>
      <c r="I26" s="84"/>
      <c r="J26" s="29" t="s">
        <v>85</v>
      </c>
      <c r="K26" s="133" t="s">
        <v>789</v>
      </c>
      <c r="L26" s="136"/>
    </row>
    <row r="27" spans="1:12" ht="51.95">
      <c r="A27" s="25" t="s">
        <v>1334</v>
      </c>
      <c r="B27" s="41" t="s">
        <v>33</v>
      </c>
      <c r="C27" s="41" t="s">
        <v>1335</v>
      </c>
      <c r="D27" s="27" t="s">
        <v>1336</v>
      </c>
      <c r="E27" s="41" t="s">
        <v>1337</v>
      </c>
      <c r="F27" s="29" t="s">
        <v>1338</v>
      </c>
      <c r="G27" s="83" t="s">
        <v>100</v>
      </c>
      <c r="H27" s="158" t="s">
        <v>14</v>
      </c>
      <c r="I27" s="84"/>
      <c r="J27" s="29" t="s">
        <v>85</v>
      </c>
      <c r="K27" s="133" t="s">
        <v>789</v>
      </c>
      <c r="L27" s="136"/>
    </row>
    <row r="28" spans="1:12" ht="51.95">
      <c r="A28" s="25" t="s">
        <v>1339</v>
      </c>
      <c r="B28" s="41" t="s">
        <v>33</v>
      </c>
      <c r="C28" s="41" t="s">
        <v>1340</v>
      </c>
      <c r="D28" s="27" t="s">
        <v>1341</v>
      </c>
      <c r="E28" s="41" t="s">
        <v>1342</v>
      </c>
      <c r="F28" s="29" t="s">
        <v>1343</v>
      </c>
      <c r="G28" s="83" t="s">
        <v>100</v>
      </c>
      <c r="H28" s="158" t="s">
        <v>14</v>
      </c>
      <c r="I28" s="84"/>
      <c r="J28" s="29" t="s">
        <v>85</v>
      </c>
      <c r="K28" s="133" t="s">
        <v>789</v>
      </c>
      <c r="L28" s="136"/>
    </row>
    <row r="29" spans="1:12" ht="51.95">
      <c r="A29" s="25" t="s">
        <v>1344</v>
      </c>
      <c r="B29" s="41" t="s">
        <v>33</v>
      </c>
      <c r="C29" s="41" t="s">
        <v>1345</v>
      </c>
      <c r="D29" s="27" t="s">
        <v>1346</v>
      </c>
      <c r="E29" s="41" t="s">
        <v>1347</v>
      </c>
      <c r="F29" s="29" t="s">
        <v>1348</v>
      </c>
      <c r="G29" s="83" t="s">
        <v>100</v>
      </c>
      <c r="H29" s="158" t="s">
        <v>14</v>
      </c>
      <c r="I29" s="85"/>
      <c r="J29" s="29" t="s">
        <v>85</v>
      </c>
      <c r="K29" s="133" t="s">
        <v>789</v>
      </c>
      <c r="L29" s="136"/>
    </row>
    <row r="30" spans="1:12">
      <c r="K30" s="133"/>
      <c r="L30" s="136"/>
    </row>
    <row r="31" spans="1:12">
      <c r="K31" s="133"/>
      <c r="L31" s="136"/>
    </row>
    <row r="32" spans="1:12">
      <c r="K32" s="133"/>
      <c r="L32" s="136"/>
    </row>
    <row r="33" spans="11:11">
      <c r="K33" s="133"/>
    </row>
    <row r="34" spans="11:11">
      <c r="K34" s="133"/>
    </row>
    <row r="35" spans="11:11">
      <c r="K35" s="133"/>
    </row>
    <row r="36" spans="11:11">
      <c r="K36" s="133"/>
    </row>
    <row r="37" spans="11:11">
      <c r="K37" s="133"/>
    </row>
    <row r="38" spans="11:11">
      <c r="K38" s="133"/>
    </row>
    <row r="39" spans="11:11">
      <c r="K39" s="133"/>
    </row>
    <row r="40" spans="11:11">
      <c r="K40" s="133"/>
    </row>
    <row r="41" spans="11:11">
      <c r="K41" s="133"/>
    </row>
    <row r="42" spans="11:11">
      <c r="K42" s="133"/>
    </row>
    <row r="43" spans="11:11">
      <c r="K43" s="133"/>
    </row>
    <row r="44" spans="11:11">
      <c r="K44" s="133"/>
    </row>
    <row r="45" spans="11:11">
      <c r="K45" s="133"/>
    </row>
    <row r="46" spans="11:11">
      <c r="K46" s="133"/>
    </row>
    <row r="47" spans="11:11">
      <c r="K47" s="133"/>
    </row>
    <row r="48" spans="11:11">
      <c r="K48" s="133"/>
    </row>
    <row r="49" spans="11:12">
      <c r="K49" s="133"/>
      <c r="L49" s="136"/>
    </row>
    <row r="50" spans="11:12">
      <c r="K50" s="133"/>
      <c r="L50" s="136"/>
    </row>
    <row r="51" spans="11:12">
      <c r="K51" s="133"/>
      <c r="L51" s="136"/>
    </row>
    <row r="52" spans="11:12">
      <c r="K52" s="133"/>
      <c r="L52" s="136"/>
    </row>
    <row r="53" spans="11:12">
      <c r="K53" s="133"/>
      <c r="L53" s="136"/>
    </row>
    <row r="54" spans="11:12">
      <c r="K54" s="133"/>
      <c r="L54" s="136"/>
    </row>
    <row r="55" spans="11:12">
      <c r="K55" s="133"/>
      <c r="L55" s="151"/>
    </row>
    <row r="56" spans="11:12">
      <c r="K56" s="133"/>
      <c r="L56" s="151"/>
    </row>
    <row r="57" spans="11:12">
      <c r="K57" s="133"/>
      <c r="L57" s="151"/>
    </row>
    <row r="58" spans="11:12">
      <c r="K58" s="133"/>
      <c r="L58" s="151"/>
    </row>
    <row r="59" spans="11:12">
      <c r="K59" s="133"/>
      <c r="L59" s="151"/>
    </row>
    <row r="60" spans="11:12">
      <c r="K60" s="133"/>
      <c r="L60" s="151"/>
    </row>
    <row r="61" spans="11:12">
      <c r="K61" s="133"/>
      <c r="L61" s="151"/>
    </row>
    <row r="62" spans="11:12">
      <c r="K62" s="133"/>
      <c r="L62" s="151"/>
    </row>
    <row r="63" spans="11:12">
      <c r="K63" s="133"/>
      <c r="L63" s="151"/>
    </row>
    <row r="64" spans="11:12">
      <c r="K64" s="133"/>
      <c r="L64" s="151"/>
    </row>
    <row r="65" spans="11:12">
      <c r="K65" s="133"/>
      <c r="L65" s="151"/>
    </row>
    <row r="66" spans="11:12">
      <c r="K66" s="133"/>
      <c r="L66" s="151"/>
    </row>
    <row r="67" spans="11:12">
      <c r="K67" s="133"/>
      <c r="L67" s="151"/>
    </row>
    <row r="68" spans="11:12">
      <c r="K68" s="133"/>
      <c r="L68" s="151"/>
    </row>
    <row r="69" spans="11:12">
      <c r="K69" s="133"/>
      <c r="L69" s="136"/>
    </row>
    <row r="70" spans="11:12">
      <c r="K70" s="133"/>
      <c r="L70" s="136"/>
    </row>
    <row r="71" spans="11:12">
      <c r="K71" s="133"/>
      <c r="L71" s="136"/>
    </row>
    <row r="72" spans="11:12">
      <c r="K72" s="133"/>
      <c r="L72" s="136"/>
    </row>
    <row r="73" spans="11:12">
      <c r="K73" s="133"/>
      <c r="L73" s="136"/>
    </row>
    <row r="74" spans="11:12">
      <c r="K74" s="133"/>
      <c r="L74" s="136"/>
    </row>
    <row r="75" spans="11:12">
      <c r="K75" s="133"/>
      <c r="L75" s="136"/>
    </row>
    <row r="76" spans="11:12">
      <c r="K76" s="133"/>
      <c r="L76" s="136"/>
    </row>
    <row r="77" spans="11:12">
      <c r="K77" s="133"/>
      <c r="L77" s="136"/>
    </row>
    <row r="78" spans="11:12">
      <c r="K78" s="133"/>
      <c r="L78" s="136"/>
    </row>
    <row r="79" spans="11:12">
      <c r="K79" s="133"/>
      <c r="L79" s="136"/>
    </row>
    <row r="80" spans="11:12">
      <c r="K80" s="133"/>
      <c r="L80" s="136"/>
    </row>
    <row r="81" spans="11:11">
      <c r="K81" s="133"/>
    </row>
    <row r="82" spans="11:11">
      <c r="K82" s="133"/>
    </row>
    <row r="83" spans="11:11">
      <c r="K83" s="133"/>
    </row>
    <row r="84" spans="11:11">
      <c r="K84" s="133"/>
    </row>
    <row r="85" spans="11:11">
      <c r="K85" s="133"/>
    </row>
    <row r="86" spans="11:11">
      <c r="K86" s="133"/>
    </row>
    <row r="87" spans="11:11">
      <c r="K87" s="133"/>
    </row>
    <row r="88" spans="11:11">
      <c r="K88" s="133"/>
    </row>
    <row r="89" spans="11:11">
      <c r="K89" s="133"/>
    </row>
    <row r="90" spans="11:11">
      <c r="K90" s="133"/>
    </row>
    <row r="91" spans="11:11">
      <c r="K91" s="133"/>
    </row>
    <row r="92" spans="11:11">
      <c r="K92" s="133"/>
    </row>
    <row r="93" spans="11:11">
      <c r="K93" s="133"/>
    </row>
    <row r="94" spans="11:11">
      <c r="K94" s="133"/>
    </row>
    <row r="95" spans="11:11">
      <c r="K95" s="133"/>
    </row>
    <row r="96" spans="11:11">
      <c r="K96" s="133"/>
    </row>
    <row r="97" spans="11:12">
      <c r="K97" s="133"/>
      <c r="L97" s="136"/>
    </row>
    <row r="98" spans="11:12">
      <c r="K98" s="133"/>
      <c r="L98" s="136"/>
    </row>
    <row r="99" spans="11:12">
      <c r="K99" s="133"/>
      <c r="L99" s="136"/>
    </row>
    <row r="100" spans="11:12">
      <c r="K100" s="133"/>
      <c r="L100" s="136"/>
    </row>
    <row r="101" spans="11:12">
      <c r="K101" s="133"/>
      <c r="L101" s="136"/>
    </row>
    <row r="102" spans="11:12">
      <c r="K102" s="133"/>
      <c r="L102" s="151"/>
    </row>
    <row r="103" spans="11:12">
      <c r="K103" s="133"/>
      <c r="L103" s="136"/>
    </row>
    <row r="104" spans="11:12">
      <c r="K104" s="133"/>
      <c r="L104" s="136"/>
    </row>
    <row r="105" spans="11:12">
      <c r="K105" s="133"/>
      <c r="L105" s="136"/>
    </row>
    <row r="106" spans="11:12">
      <c r="K106" s="133"/>
      <c r="L106" s="136"/>
    </row>
    <row r="107" spans="11:12">
      <c r="K107" s="133"/>
      <c r="L107" s="136"/>
    </row>
    <row r="108" spans="11:12">
      <c r="K108" s="133"/>
      <c r="L108" s="136"/>
    </row>
    <row r="109" spans="11:12">
      <c r="K109" s="133"/>
      <c r="L109" s="136"/>
    </row>
    <row r="110" spans="11:12">
      <c r="K110" s="133"/>
      <c r="L110" s="136"/>
    </row>
    <row r="111" spans="11:12">
      <c r="K111" s="133"/>
      <c r="L111" s="136"/>
    </row>
    <row r="112" spans="11:12">
      <c r="K112" s="133"/>
      <c r="L112" s="136"/>
    </row>
    <row r="113" spans="11:11">
      <c r="K113" s="133"/>
    </row>
    <row r="114" spans="11:11">
      <c r="K114" s="133"/>
    </row>
  </sheetData>
  <sheetProtection formatCells="0" formatColumns="0" formatRows="0" insertColumns="0" insertRows="0" insertHyperlinks="0" deleteColumns="0" deleteRows="0" sort="0" autoFilter="0" pivotTables="0"/>
  <mergeCells count="2">
    <mergeCell ref="A1:J1"/>
    <mergeCell ref="B3:F3"/>
  </mergeCells>
  <phoneticPr fontId="25" type="noConversion"/>
  <conditionalFormatting sqref="H4:H464">
    <cfRule type="cellIs" dxfId="26" priority="1" operator="equal">
      <formula>"N/A"</formula>
    </cfRule>
    <cfRule type="cellIs" dxfId="25" priority="2" operator="equal">
      <formula>"Fail"</formula>
    </cfRule>
    <cfRule type="cellIs" dxfId="24" priority="3" operator="equal">
      <formula>"Pass"</formula>
    </cfRule>
  </conditionalFormatting>
  <dataValidations count="3">
    <dataValidation type="list" allowBlank="1" showInputMessage="1" showErrorMessage="1" errorTitle="错误提示" error="请输入下拉列表中的值" sqref="H5:H1048576" xr:uid="{00000000-0002-0000-0500-000000000000}">
      <formula1>"Pass,Fail,N/A"</formula1>
    </dataValidation>
    <dataValidation type="list" allowBlank="1" showInputMessage="1" showErrorMessage="1" sqref="K30:K114" xr:uid="{7FE4035D-373B-4A4E-A108-79F5963908E0}">
      <formula1>"Yes,No,Todo"</formula1>
    </dataValidation>
    <dataValidation type="list" showInputMessage="1" showErrorMessage="1" sqref="K5:K29" xr:uid="{50485A54-9B4F-4D1D-ACEE-2D19BA5553A1}">
      <formula1>"可以实现,不可实现,需再评估确认"</formula1>
    </dataValidation>
  </dataValidations>
  <pageMargins left="0.75" right="0.75" top="1" bottom="1" header="0.5" footer="0.5"/>
  <pageSetup paperSize="9" scale="55"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R39"/>
  <sheetViews>
    <sheetView topLeftCell="A32" zoomScale="85" zoomScaleNormal="85" workbookViewId="0">
      <selection activeCell="O36" sqref="O36"/>
    </sheetView>
  </sheetViews>
  <sheetFormatPr defaultColWidth="9" defaultRowHeight="11.25" customHeight="1"/>
  <cols>
    <col min="1" max="1" width="9" style="68"/>
    <col min="2" max="2" width="18.125" style="69" customWidth="1"/>
    <col min="3" max="3" width="13.125" style="69" customWidth="1"/>
    <col min="4" max="4" width="11.5" style="69" customWidth="1"/>
    <col min="5" max="6" width="13.875" style="69" customWidth="1"/>
    <col min="7" max="8" width="16.125" style="69" customWidth="1"/>
    <col min="9" max="9" width="11.125" style="69" customWidth="1"/>
    <col min="10" max="10" width="11" style="69" customWidth="1"/>
    <col min="11" max="12" width="9" style="69" customWidth="1"/>
    <col min="13" max="13" width="10.5" style="69" customWidth="1"/>
    <col min="14" max="14" width="9" style="69" customWidth="1"/>
    <col min="15" max="15" width="17.125" style="69" customWidth="1"/>
    <col min="16" max="252" width="9" style="69" customWidth="1"/>
    <col min="253" max="16384" width="9" style="68"/>
  </cols>
  <sheetData>
    <row r="1" spans="1:13" ht="38.1" customHeight="1">
      <c r="A1" s="224" t="s">
        <v>1349</v>
      </c>
      <c r="B1" s="224"/>
      <c r="C1" s="224"/>
      <c r="D1" s="224"/>
      <c r="E1" s="224"/>
      <c r="F1" s="224"/>
      <c r="G1" s="224"/>
      <c r="H1" s="224"/>
      <c r="I1" s="224"/>
    </row>
    <row r="2" spans="1:13" ht="15" customHeight="1">
      <c r="A2" s="225" t="s">
        <v>1350</v>
      </c>
      <c r="B2" s="225"/>
      <c r="C2" s="226" t="s">
        <v>1351</v>
      </c>
      <c r="D2" s="227"/>
      <c r="E2" s="227"/>
      <c r="F2" s="227"/>
      <c r="G2" s="227"/>
      <c r="H2" s="227"/>
      <c r="I2" s="228"/>
    </row>
    <row r="3" spans="1:13" ht="15" customHeight="1">
      <c r="A3" s="229" t="s">
        <v>1352</v>
      </c>
      <c r="B3" s="229"/>
      <c r="C3" s="229"/>
      <c r="D3" s="229"/>
      <c r="E3" s="229"/>
      <c r="F3" s="229"/>
      <c r="G3" s="229"/>
      <c r="H3" s="229"/>
      <c r="I3" s="78"/>
    </row>
    <row r="4" spans="1:13" s="69" customFormat="1" ht="24" customHeight="1">
      <c r="A4" s="219" t="s">
        <v>1353</v>
      </c>
      <c r="B4" s="219"/>
      <c r="C4" s="219"/>
      <c r="D4" s="219"/>
      <c r="E4" s="219"/>
      <c r="F4" s="219"/>
      <c r="G4" s="219"/>
      <c r="H4" s="219"/>
      <c r="I4" s="220"/>
    </row>
    <row r="5" spans="1:13" s="69" customFormat="1" ht="111" customHeight="1">
      <c r="A5" s="221" t="s">
        <v>1354</v>
      </c>
      <c r="B5" s="222"/>
      <c r="C5" s="222"/>
      <c r="D5" s="222"/>
      <c r="E5" s="222"/>
      <c r="F5" s="222"/>
      <c r="G5" s="222"/>
      <c r="H5" s="222"/>
      <c r="I5" s="223"/>
      <c r="M5" s="79"/>
    </row>
    <row r="6" spans="1:13" s="69" customFormat="1" ht="21.95" customHeight="1">
      <c r="A6" s="214" t="s">
        <v>1355</v>
      </c>
      <c r="B6" s="214"/>
      <c r="C6" s="214"/>
      <c r="D6" s="214"/>
      <c r="E6" s="214"/>
      <c r="F6" s="214"/>
      <c r="G6" s="214"/>
      <c r="H6" s="214"/>
      <c r="I6" s="214"/>
      <c r="J6" s="79"/>
      <c r="K6" s="79"/>
      <c r="L6" s="79"/>
      <c r="M6" s="79"/>
    </row>
    <row r="7" spans="1:13" s="69" customFormat="1" ht="27.95" customHeight="1">
      <c r="A7" s="70" t="s">
        <v>1356</v>
      </c>
      <c r="B7" s="71" t="s">
        <v>1357</v>
      </c>
      <c r="C7" s="71" t="s">
        <v>1358</v>
      </c>
      <c r="D7" s="72" t="s">
        <v>1359</v>
      </c>
      <c r="E7" s="72" t="s">
        <v>1360</v>
      </c>
      <c r="F7" s="72" t="s">
        <v>1361</v>
      </c>
      <c r="G7" s="73" t="s">
        <v>732</v>
      </c>
      <c r="H7" s="74" t="s">
        <v>737</v>
      </c>
      <c r="I7" s="70" t="s">
        <v>1362</v>
      </c>
    </row>
    <row r="8" spans="1:13" s="69" customFormat="1" ht="29.1" customHeight="1">
      <c r="A8" s="70" t="s">
        <v>84</v>
      </c>
      <c r="B8" s="213" t="s">
        <v>1363</v>
      </c>
      <c r="C8" s="213" t="s">
        <v>1364</v>
      </c>
      <c r="D8" s="212" t="s">
        <v>741</v>
      </c>
      <c r="E8" s="212" t="s">
        <v>730</v>
      </c>
      <c r="F8" s="75">
        <v>1</v>
      </c>
      <c r="G8" s="76"/>
      <c r="H8" s="71"/>
      <c r="I8" s="24"/>
    </row>
    <row r="9" spans="1:13" s="69" customFormat="1" ht="29.1" customHeight="1">
      <c r="A9" s="70" t="s">
        <v>84</v>
      </c>
      <c r="B9" s="213"/>
      <c r="C9" s="213"/>
      <c r="D9" s="212"/>
      <c r="E9" s="212"/>
      <c r="F9" s="75">
        <v>6</v>
      </c>
      <c r="G9" s="71"/>
      <c r="H9" s="71"/>
      <c r="I9" s="24"/>
    </row>
    <row r="10" spans="1:13" s="69" customFormat="1" ht="29.1" customHeight="1">
      <c r="A10" s="70" t="s">
        <v>84</v>
      </c>
      <c r="B10" s="213"/>
      <c r="C10" s="213"/>
      <c r="D10" s="212"/>
      <c r="E10" s="212"/>
      <c r="F10" s="75">
        <v>11</v>
      </c>
      <c r="G10" s="75"/>
      <c r="H10" s="71"/>
      <c r="I10" s="24"/>
    </row>
    <row r="11" spans="1:13" s="69" customFormat="1" ht="29.1" customHeight="1">
      <c r="A11" s="214" t="s">
        <v>1365</v>
      </c>
      <c r="B11" s="214"/>
      <c r="C11" s="214"/>
      <c r="D11" s="214"/>
      <c r="E11" s="214"/>
      <c r="F11" s="214"/>
      <c r="G11" s="214"/>
      <c r="H11" s="214"/>
      <c r="I11" s="214"/>
    </row>
    <row r="12" spans="1:13" s="69" customFormat="1" ht="29.1" customHeight="1">
      <c r="A12" s="70" t="s">
        <v>1356</v>
      </c>
      <c r="B12" s="71" t="s">
        <v>1357</v>
      </c>
      <c r="C12" s="71" t="s">
        <v>1358</v>
      </c>
      <c r="D12" s="77" t="s">
        <v>1359</v>
      </c>
      <c r="E12" s="72" t="s">
        <v>1360</v>
      </c>
      <c r="F12" s="72" t="s">
        <v>1361</v>
      </c>
      <c r="G12" s="73" t="s">
        <v>732</v>
      </c>
      <c r="H12" s="74" t="s">
        <v>737</v>
      </c>
      <c r="I12" s="70" t="s">
        <v>1362</v>
      </c>
    </row>
    <row r="13" spans="1:13" s="69" customFormat="1" ht="29.1" customHeight="1">
      <c r="A13" s="70" t="s">
        <v>84</v>
      </c>
      <c r="B13" s="213" t="s">
        <v>1363</v>
      </c>
      <c r="C13" s="213" t="s">
        <v>1364</v>
      </c>
      <c r="D13" s="212" t="s">
        <v>741</v>
      </c>
      <c r="E13" s="212" t="s">
        <v>730</v>
      </c>
      <c r="F13" s="75">
        <v>1</v>
      </c>
      <c r="G13" s="76">
        <v>159</v>
      </c>
      <c r="H13" s="71">
        <v>185</v>
      </c>
      <c r="I13" s="24" t="s">
        <v>13</v>
      </c>
    </row>
    <row r="14" spans="1:13" s="69" customFormat="1" ht="29.1" customHeight="1">
      <c r="A14" s="70" t="s">
        <v>84</v>
      </c>
      <c r="B14" s="213"/>
      <c r="C14" s="213"/>
      <c r="D14" s="212"/>
      <c r="E14" s="212"/>
      <c r="F14" s="75">
        <v>6</v>
      </c>
      <c r="G14" s="71">
        <v>169</v>
      </c>
      <c r="H14" s="71">
        <v>175</v>
      </c>
      <c r="I14" s="24" t="s">
        <v>13</v>
      </c>
    </row>
    <row r="15" spans="1:13" s="69" customFormat="1" ht="29.1" customHeight="1">
      <c r="A15" s="70" t="s">
        <v>84</v>
      </c>
      <c r="B15" s="213"/>
      <c r="C15" s="213"/>
      <c r="D15" s="212"/>
      <c r="E15" s="212"/>
      <c r="F15" s="75">
        <v>11</v>
      </c>
      <c r="G15" s="75">
        <v>176</v>
      </c>
      <c r="H15" s="71">
        <v>192</v>
      </c>
      <c r="I15" s="24" t="s">
        <v>13</v>
      </c>
    </row>
    <row r="16" spans="1:13" s="69" customFormat="1" ht="29.1" customHeight="1">
      <c r="A16" s="214" t="s">
        <v>1355</v>
      </c>
      <c r="B16" s="214"/>
      <c r="C16" s="214"/>
      <c r="D16" s="214"/>
      <c r="E16" s="214"/>
      <c r="F16" s="214"/>
      <c r="G16" s="214"/>
      <c r="H16" s="214"/>
      <c r="I16" s="214"/>
    </row>
    <row r="17" spans="1:13" s="69" customFormat="1" ht="29.1" customHeight="1">
      <c r="A17" s="70" t="s">
        <v>1356</v>
      </c>
      <c r="B17" s="71" t="s">
        <v>1357</v>
      </c>
      <c r="C17" s="71" t="s">
        <v>1358</v>
      </c>
      <c r="D17" s="72" t="s">
        <v>1359</v>
      </c>
      <c r="E17" s="72" t="s">
        <v>1360</v>
      </c>
      <c r="F17" s="72" t="s">
        <v>1361</v>
      </c>
      <c r="G17" s="73" t="s">
        <v>732</v>
      </c>
      <c r="H17" s="74" t="s">
        <v>737</v>
      </c>
      <c r="I17" s="70" t="s">
        <v>1362</v>
      </c>
    </row>
    <row r="18" spans="1:13" s="69" customFormat="1" ht="29.1" customHeight="1">
      <c r="A18" s="70" t="s">
        <v>84</v>
      </c>
      <c r="B18" s="213" t="s">
        <v>1363</v>
      </c>
      <c r="C18" s="213" t="s">
        <v>1364</v>
      </c>
      <c r="D18" s="212" t="s">
        <v>731</v>
      </c>
      <c r="E18" s="212" t="s">
        <v>730</v>
      </c>
      <c r="F18" s="75">
        <v>1</v>
      </c>
      <c r="G18" s="76"/>
      <c r="H18" s="71"/>
      <c r="I18" s="24"/>
    </row>
    <row r="19" spans="1:13" s="69" customFormat="1" ht="29.1" customHeight="1">
      <c r="A19" s="70" t="s">
        <v>84</v>
      </c>
      <c r="B19" s="213"/>
      <c r="C19" s="213"/>
      <c r="D19" s="212"/>
      <c r="E19" s="212"/>
      <c r="F19" s="75">
        <v>6</v>
      </c>
      <c r="G19" s="71"/>
      <c r="H19" s="71"/>
      <c r="I19" s="24"/>
    </row>
    <row r="20" spans="1:13" s="69" customFormat="1" ht="29.1" customHeight="1">
      <c r="A20" s="70" t="s">
        <v>84</v>
      </c>
      <c r="B20" s="213"/>
      <c r="C20" s="213"/>
      <c r="D20" s="212"/>
      <c r="E20" s="212"/>
      <c r="F20" s="75">
        <v>11</v>
      </c>
      <c r="G20" s="75"/>
      <c r="H20" s="71"/>
      <c r="I20" s="24"/>
    </row>
    <row r="21" spans="1:13" s="69" customFormat="1" ht="21" customHeight="1">
      <c r="A21" s="214" t="s">
        <v>1366</v>
      </c>
      <c r="B21" s="214"/>
      <c r="C21" s="214"/>
      <c r="D21" s="214"/>
      <c r="E21" s="214"/>
      <c r="F21" s="214"/>
      <c r="G21" s="214"/>
      <c r="H21" s="214"/>
      <c r="I21" s="214"/>
    </row>
    <row r="22" spans="1:13" s="69" customFormat="1" ht="27.95" customHeight="1">
      <c r="A22" s="70" t="s">
        <v>1356</v>
      </c>
      <c r="B22" s="71" t="s">
        <v>1357</v>
      </c>
      <c r="C22" s="71" t="s">
        <v>1358</v>
      </c>
      <c r="D22" s="72" t="s">
        <v>1359</v>
      </c>
      <c r="E22" s="72" t="s">
        <v>1360</v>
      </c>
      <c r="F22" s="72" t="s">
        <v>1361</v>
      </c>
      <c r="G22" s="73" t="s">
        <v>732</v>
      </c>
      <c r="H22" s="74" t="s">
        <v>737</v>
      </c>
      <c r="I22" s="70" t="s">
        <v>1362</v>
      </c>
    </row>
    <row r="23" spans="1:13" s="69" customFormat="1" ht="24" customHeight="1">
      <c r="A23" s="70" t="s">
        <v>703</v>
      </c>
      <c r="B23" s="213" t="s">
        <v>1367</v>
      </c>
      <c r="C23" s="213" t="s">
        <v>1364</v>
      </c>
      <c r="D23" s="212" t="s">
        <v>741</v>
      </c>
      <c r="E23" s="212" t="s">
        <v>730</v>
      </c>
      <c r="F23" s="75">
        <v>1</v>
      </c>
      <c r="G23" s="71"/>
      <c r="H23" s="71"/>
      <c r="I23" s="24" t="s">
        <v>12</v>
      </c>
    </row>
    <row r="24" spans="1:13" s="69" customFormat="1" ht="24" customHeight="1">
      <c r="A24" s="70" t="s">
        <v>703</v>
      </c>
      <c r="B24" s="213"/>
      <c r="C24" s="213"/>
      <c r="D24" s="212"/>
      <c r="E24" s="212"/>
      <c r="F24" s="75">
        <v>6</v>
      </c>
      <c r="G24" s="71"/>
      <c r="H24" s="71"/>
      <c r="I24" s="24" t="s">
        <v>12</v>
      </c>
    </row>
    <row r="25" spans="1:13" s="69" customFormat="1" ht="24" customHeight="1">
      <c r="A25" s="70" t="s">
        <v>703</v>
      </c>
      <c r="B25" s="213"/>
      <c r="C25" s="213"/>
      <c r="D25" s="212"/>
      <c r="E25" s="212"/>
      <c r="F25" s="75">
        <v>11</v>
      </c>
      <c r="G25" s="71"/>
      <c r="H25" s="71"/>
      <c r="I25" s="24" t="s">
        <v>12</v>
      </c>
    </row>
    <row r="26" spans="1:13" s="69" customFormat="1" ht="30" customHeight="1">
      <c r="A26" s="215" t="s">
        <v>1368</v>
      </c>
      <c r="B26" s="215"/>
      <c r="C26" s="215"/>
      <c r="D26" s="215"/>
      <c r="E26" s="215"/>
      <c r="F26" s="215"/>
      <c r="G26" s="215"/>
      <c r="H26" s="215"/>
      <c r="I26" s="215"/>
    </row>
    <row r="27" spans="1:13" s="69" customFormat="1" ht="111" customHeight="1">
      <c r="A27" s="216" t="s">
        <v>1354</v>
      </c>
      <c r="B27" s="217"/>
      <c r="C27" s="217"/>
      <c r="D27" s="217"/>
      <c r="E27" s="217"/>
      <c r="F27" s="217"/>
      <c r="G27" s="217"/>
      <c r="H27" s="217"/>
      <c r="I27" s="217"/>
      <c r="J27" s="79"/>
      <c r="K27" s="79"/>
      <c r="L27" s="79"/>
      <c r="M27" s="79"/>
    </row>
    <row r="28" spans="1:13" s="69" customFormat="1" ht="27" customHeight="1">
      <c r="A28" s="214" t="s">
        <v>1369</v>
      </c>
      <c r="B28" s="214"/>
      <c r="C28" s="214"/>
      <c r="D28" s="214"/>
      <c r="E28" s="214"/>
      <c r="F28" s="214"/>
      <c r="G28" s="214"/>
      <c r="H28" s="214"/>
      <c r="I28" s="214"/>
      <c r="J28" s="79"/>
      <c r="K28" s="79"/>
      <c r="L28" s="79"/>
      <c r="M28" s="79"/>
    </row>
    <row r="29" spans="1:13" s="69" customFormat="1" ht="27.95" customHeight="1">
      <c r="A29" s="70" t="s">
        <v>1356</v>
      </c>
      <c r="B29" s="71" t="s">
        <v>1357</v>
      </c>
      <c r="C29" s="71" t="s">
        <v>1358</v>
      </c>
      <c r="D29" s="72" t="s">
        <v>1359</v>
      </c>
      <c r="E29" s="72" t="s">
        <v>1360</v>
      </c>
      <c r="F29" s="72" t="s">
        <v>1361</v>
      </c>
      <c r="G29" s="73" t="s">
        <v>732</v>
      </c>
      <c r="H29" s="74" t="s">
        <v>737</v>
      </c>
      <c r="I29" s="70" t="s">
        <v>1362</v>
      </c>
    </row>
    <row r="30" spans="1:13" s="69" customFormat="1" ht="18" customHeight="1">
      <c r="A30" s="70" t="s">
        <v>84</v>
      </c>
      <c r="B30" s="213" t="s">
        <v>1370</v>
      </c>
      <c r="C30" s="213" t="s">
        <v>1364</v>
      </c>
      <c r="D30" s="212" t="s">
        <v>765</v>
      </c>
      <c r="E30" s="212" t="s">
        <v>730</v>
      </c>
      <c r="F30" s="75">
        <v>149</v>
      </c>
      <c r="G30" s="71">
        <v>924</v>
      </c>
      <c r="H30" s="71">
        <v>525</v>
      </c>
      <c r="I30" s="24" t="s">
        <v>13</v>
      </c>
    </row>
    <row r="31" spans="1:13" s="69" customFormat="1" ht="18" customHeight="1">
      <c r="A31" s="70" t="s">
        <v>84</v>
      </c>
      <c r="B31" s="213"/>
      <c r="C31" s="213"/>
      <c r="D31" s="212"/>
      <c r="E31" s="212"/>
      <c r="F31" s="75">
        <v>153</v>
      </c>
      <c r="G31" s="71">
        <v>933</v>
      </c>
      <c r="H31" s="71">
        <v>572</v>
      </c>
      <c r="I31" s="24" t="s">
        <v>13</v>
      </c>
    </row>
    <row r="32" spans="1:13" s="69" customFormat="1" ht="18" customHeight="1">
      <c r="A32" s="70" t="s">
        <v>84</v>
      </c>
      <c r="B32" s="213"/>
      <c r="C32" s="213"/>
      <c r="D32" s="212"/>
      <c r="E32" s="212"/>
      <c r="F32" s="75">
        <v>157</v>
      </c>
      <c r="G32" s="71">
        <v>926</v>
      </c>
      <c r="H32" s="71">
        <v>575</v>
      </c>
      <c r="I32" s="24" t="s">
        <v>13</v>
      </c>
    </row>
    <row r="33" spans="1:9" s="69" customFormat="1" ht="18" customHeight="1">
      <c r="A33" s="70" t="s">
        <v>84</v>
      </c>
      <c r="B33" s="213"/>
      <c r="C33" s="213"/>
      <c r="D33" s="212"/>
      <c r="E33" s="212"/>
      <c r="F33" s="75">
        <v>161</v>
      </c>
      <c r="G33" s="71">
        <v>913</v>
      </c>
      <c r="H33" s="71">
        <v>557</v>
      </c>
      <c r="I33" s="24" t="s">
        <v>13</v>
      </c>
    </row>
    <row r="34" spans="1:9" s="69" customFormat="1" ht="30" customHeight="1">
      <c r="A34" s="218" t="s">
        <v>1371</v>
      </c>
      <c r="B34" s="218"/>
      <c r="C34" s="218"/>
      <c r="D34" s="218"/>
      <c r="E34" s="218"/>
      <c r="F34" s="218"/>
      <c r="G34" s="218"/>
      <c r="H34" s="218"/>
      <c r="I34" s="218"/>
    </row>
    <row r="35" spans="1:9" s="69" customFormat="1" ht="27.95" customHeight="1">
      <c r="A35" s="70" t="s">
        <v>1356</v>
      </c>
      <c r="B35" s="71" t="s">
        <v>1357</v>
      </c>
      <c r="C35" s="71" t="s">
        <v>1358</v>
      </c>
      <c r="D35" s="72" t="s">
        <v>1359</v>
      </c>
      <c r="E35" s="72" t="s">
        <v>1360</v>
      </c>
      <c r="F35" s="72" t="s">
        <v>1361</v>
      </c>
      <c r="G35" s="73" t="s">
        <v>732</v>
      </c>
      <c r="H35" s="74" t="s">
        <v>737</v>
      </c>
      <c r="I35" s="70" t="s">
        <v>1362</v>
      </c>
    </row>
    <row r="36" spans="1:9" s="69" customFormat="1" ht="18" customHeight="1">
      <c r="A36" s="70" t="s">
        <v>703</v>
      </c>
      <c r="B36" s="213" t="s">
        <v>1372</v>
      </c>
      <c r="C36" s="213" t="s">
        <v>1364</v>
      </c>
      <c r="D36" s="212" t="s">
        <v>765</v>
      </c>
      <c r="E36" s="212" t="s">
        <v>730</v>
      </c>
      <c r="F36" s="75">
        <v>149</v>
      </c>
      <c r="G36" s="71">
        <v>531</v>
      </c>
      <c r="H36" s="71">
        <v>488</v>
      </c>
      <c r="I36" s="24" t="s">
        <v>12</v>
      </c>
    </row>
    <row r="37" spans="1:9" s="69" customFormat="1" ht="18" customHeight="1">
      <c r="A37" s="70" t="s">
        <v>703</v>
      </c>
      <c r="B37" s="213"/>
      <c r="C37" s="213"/>
      <c r="D37" s="212"/>
      <c r="E37" s="212"/>
      <c r="F37" s="75">
        <v>153</v>
      </c>
      <c r="G37" s="71">
        <v>541</v>
      </c>
      <c r="H37" s="71">
        <v>432</v>
      </c>
      <c r="I37" s="24" t="s">
        <v>12</v>
      </c>
    </row>
    <row r="38" spans="1:9" s="69" customFormat="1" ht="18" customHeight="1">
      <c r="A38" s="70" t="s">
        <v>703</v>
      </c>
      <c r="B38" s="213"/>
      <c r="C38" s="213"/>
      <c r="D38" s="212"/>
      <c r="E38" s="212"/>
      <c r="F38" s="75">
        <v>157</v>
      </c>
      <c r="G38" s="71">
        <v>471</v>
      </c>
      <c r="H38" s="71">
        <v>455</v>
      </c>
      <c r="I38" s="24" t="s">
        <v>12</v>
      </c>
    </row>
    <row r="39" spans="1:9" s="69" customFormat="1" ht="18" customHeight="1">
      <c r="A39" s="70" t="s">
        <v>703</v>
      </c>
      <c r="B39" s="213"/>
      <c r="C39" s="213"/>
      <c r="D39" s="212"/>
      <c r="E39" s="212"/>
      <c r="F39" s="75">
        <v>161</v>
      </c>
      <c r="G39" s="71">
        <v>501</v>
      </c>
      <c r="H39" s="71">
        <v>410</v>
      </c>
      <c r="I39" s="24" t="s">
        <v>12</v>
      </c>
    </row>
  </sheetData>
  <sheetProtection formatCells="0" formatColumns="0" formatRows="0" insertColumns="0" insertRows="0" insertHyperlinks="0" deleteColumns="0" deleteRows="0" sort="0" autoFilter="0" pivotTables="0"/>
  <mergeCells count="39">
    <mergeCell ref="A1:I1"/>
    <mergeCell ref="A2:B2"/>
    <mergeCell ref="C2:I2"/>
    <mergeCell ref="A3:B3"/>
    <mergeCell ref="C3:H3"/>
    <mergeCell ref="A4:I4"/>
    <mergeCell ref="A5:I5"/>
    <mergeCell ref="A6:I6"/>
    <mergeCell ref="A11:I11"/>
    <mergeCell ref="A16:I16"/>
    <mergeCell ref="B8:B10"/>
    <mergeCell ref="B13:B15"/>
    <mergeCell ref="D8:D10"/>
    <mergeCell ref="D13:D15"/>
    <mergeCell ref="B18:B20"/>
    <mergeCell ref="B23:B25"/>
    <mergeCell ref="B30:B33"/>
    <mergeCell ref="B36:B39"/>
    <mergeCell ref="C8:C10"/>
    <mergeCell ref="C13:C15"/>
    <mergeCell ref="C18:C20"/>
    <mergeCell ref="C23:C25"/>
    <mergeCell ref="C30:C33"/>
    <mergeCell ref="C36:C39"/>
    <mergeCell ref="A21:I21"/>
    <mergeCell ref="A26:I26"/>
    <mergeCell ref="A27:I27"/>
    <mergeCell ref="A28:I28"/>
    <mergeCell ref="A34:I34"/>
    <mergeCell ref="D18:D20"/>
    <mergeCell ref="D23:D25"/>
    <mergeCell ref="D30:D33"/>
    <mergeCell ref="D36:D39"/>
    <mergeCell ref="E8:E10"/>
    <mergeCell ref="E13:E15"/>
    <mergeCell ref="E18:E20"/>
    <mergeCell ref="E23:E25"/>
    <mergeCell ref="E30:E33"/>
    <mergeCell ref="E36:E39"/>
  </mergeCells>
  <phoneticPr fontId="25" type="noConversion"/>
  <conditionalFormatting sqref="I8:I10">
    <cfRule type="cellIs" dxfId="23" priority="31" operator="equal">
      <formula>"N/A"</formula>
    </cfRule>
    <cfRule type="cellIs" dxfId="22" priority="32" stopIfTrue="1" operator="equal">
      <formula>"Pass"</formula>
    </cfRule>
    <cfRule type="cellIs" dxfId="21" priority="33" stopIfTrue="1" operator="equal">
      <formula>"Fail"</formula>
    </cfRule>
  </conditionalFormatting>
  <conditionalFormatting sqref="I13:I15">
    <cfRule type="cellIs" dxfId="20" priority="19" operator="equal">
      <formula>"N/A"</formula>
    </cfRule>
    <cfRule type="cellIs" dxfId="19" priority="20" stopIfTrue="1" operator="equal">
      <formula>"Pass"</formula>
    </cfRule>
    <cfRule type="cellIs" dxfId="18" priority="21" stopIfTrue="1" operator="equal">
      <formula>"Fail"</formula>
    </cfRule>
  </conditionalFormatting>
  <conditionalFormatting sqref="I18:I20">
    <cfRule type="cellIs" dxfId="17" priority="1" operator="equal">
      <formula>"N/A"</formula>
    </cfRule>
    <cfRule type="cellIs" dxfId="16" priority="2" stopIfTrue="1" operator="equal">
      <formula>"Pass"</formula>
    </cfRule>
    <cfRule type="cellIs" dxfId="15" priority="3" stopIfTrue="1" operator="equal">
      <formula>"Fail"</formula>
    </cfRule>
  </conditionalFormatting>
  <conditionalFormatting sqref="I23:I25">
    <cfRule type="cellIs" dxfId="14" priority="28" operator="equal">
      <formula>"N/A"</formula>
    </cfRule>
    <cfRule type="cellIs" dxfId="13" priority="29" stopIfTrue="1" operator="equal">
      <formula>"Pass"</formula>
    </cfRule>
    <cfRule type="cellIs" dxfId="12" priority="30" stopIfTrue="1" operator="equal">
      <formula>"Fail"</formula>
    </cfRule>
  </conditionalFormatting>
  <conditionalFormatting sqref="I30:I33">
    <cfRule type="cellIs" dxfId="11" priority="25" operator="equal">
      <formula>"N/A"</formula>
    </cfRule>
    <cfRule type="cellIs" dxfId="10" priority="26" stopIfTrue="1" operator="equal">
      <formula>"Pass"</formula>
    </cfRule>
    <cfRule type="cellIs" dxfId="9" priority="27" stopIfTrue="1" operator="equal">
      <formula>"Fail"</formula>
    </cfRule>
  </conditionalFormatting>
  <conditionalFormatting sqref="I36:I39">
    <cfRule type="cellIs" dxfId="8" priority="22" operator="equal">
      <formula>"N/A"</formula>
    </cfRule>
    <cfRule type="cellIs" dxfId="7" priority="23" stopIfTrue="1" operator="equal">
      <formula>"Pass"</formula>
    </cfRule>
    <cfRule type="cellIs" dxfId="6" priority="24" stopIfTrue="1" operator="equal">
      <formula>"Fail"</formula>
    </cfRule>
  </conditionalFormatting>
  <dataValidations count="1">
    <dataValidation type="list" allowBlank="1" showInputMessage="1" showErrorMessage="1" sqref="I8:I10 I13:I15 I18:I20 I23:I25 I30:I33 I36:I39" xr:uid="{00000000-0002-0000-0600-000000000000}">
      <formula1>"Pass,Fail,PartialPass,N/A"</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EW114"/>
  <sheetViews>
    <sheetView view="pageBreakPreview" zoomScaleNormal="100" workbookViewId="0">
      <pane ySplit="4" topLeftCell="H13" activePane="bottomLeft" state="frozen"/>
      <selection pane="bottomLeft" activeCell="H13" sqref="H13"/>
    </sheetView>
  </sheetViews>
  <sheetFormatPr defaultColWidth="9" defaultRowHeight="14.1"/>
  <cols>
    <col min="1" max="1" width="25.75" style="57" customWidth="1"/>
    <col min="2" max="2" width="9" style="57" customWidth="1"/>
    <col min="3" max="3" width="12.375" style="57" customWidth="1"/>
    <col min="4" max="4" width="21.375" style="57" customWidth="1"/>
    <col min="5" max="5" width="41.875" style="57" customWidth="1"/>
    <col min="6" max="6" width="27.875" style="57" customWidth="1"/>
    <col min="7" max="7" width="8" style="58" customWidth="1"/>
    <col min="8" max="8" width="10.875" style="57" customWidth="1"/>
    <col min="9" max="9" width="9.625" style="57" customWidth="1"/>
    <col min="10" max="10" width="11.625" style="57" customWidth="1"/>
    <col min="11" max="11" width="10.625" style="57" customWidth="1"/>
    <col min="12" max="12" width="12.5" style="57" bestFit="1" customWidth="1"/>
    <col min="13" max="13" width="13.875" style="57" bestFit="1" customWidth="1"/>
    <col min="14" max="16377" width="9" style="57"/>
  </cols>
  <sheetData>
    <row r="1" spans="1:14" ht="24.75" customHeight="1">
      <c r="A1" s="172" t="s">
        <v>1373</v>
      </c>
      <c r="B1" s="172"/>
      <c r="C1" s="172"/>
      <c r="D1" s="172"/>
      <c r="E1" s="172"/>
      <c r="F1" s="172"/>
      <c r="G1" s="172"/>
      <c r="H1" s="172"/>
      <c r="I1" s="172"/>
      <c r="J1" s="172"/>
      <c r="K1" s="172"/>
      <c r="L1" s="136"/>
      <c r="M1" s="136"/>
      <c r="N1" s="136"/>
    </row>
    <row r="2" spans="1:14" ht="20.25" customHeight="1">
      <c r="A2" s="12" t="s">
        <v>60</v>
      </c>
      <c r="B2" s="13" t="str">
        <f>IF(Summary!B3="","",Summary!B3)</f>
        <v/>
      </c>
      <c r="C2" s="12" t="s">
        <v>61</v>
      </c>
      <c r="D2" s="13" t="str">
        <f>IF(Summary!B4="","",Summary!B4)</f>
        <v/>
      </c>
      <c r="E2" s="12" t="s">
        <v>8</v>
      </c>
      <c r="F2" s="59" t="str">
        <f>IF(Summary!B8="","",Summary!B8)</f>
        <v/>
      </c>
      <c r="G2" s="60"/>
      <c r="H2" s="15" t="s">
        <v>11</v>
      </c>
      <c r="I2" s="15" t="s">
        <v>12</v>
      </c>
      <c r="J2" s="15" t="s">
        <v>13</v>
      </c>
      <c r="K2" s="15" t="s">
        <v>14</v>
      </c>
      <c r="L2" s="136"/>
      <c r="M2" s="136"/>
      <c r="N2" s="136"/>
    </row>
    <row r="3" spans="1:14" ht="45" customHeight="1">
      <c r="A3" s="16" t="s">
        <v>62</v>
      </c>
      <c r="B3" s="173"/>
      <c r="C3" s="174"/>
      <c r="D3" s="174"/>
      <c r="E3" s="174"/>
      <c r="F3" s="174"/>
      <c r="G3" s="175"/>
      <c r="H3" s="17">
        <f>COUNTIFS(A:A,"*")-4</f>
        <v>16</v>
      </c>
      <c r="I3" s="17">
        <f>COUNTIFS($I4:$I499,I2)</f>
        <v>2</v>
      </c>
      <c r="J3" s="17">
        <f>COUNTIFS($I4:$I499,J2)</f>
        <v>1</v>
      </c>
      <c r="K3" s="17">
        <f>COUNTIFS($I4:$I499,K2)</f>
        <v>12</v>
      </c>
      <c r="L3" s="136"/>
      <c r="M3"/>
      <c r="N3" s="136"/>
    </row>
    <row r="4" spans="1:14" s="57" customFormat="1" ht="22.5">
      <c r="A4" s="137" t="s">
        <v>63</v>
      </c>
      <c r="B4" s="137" t="s">
        <v>64</v>
      </c>
      <c r="C4" s="61" t="s">
        <v>65</v>
      </c>
      <c r="D4" s="61" t="s">
        <v>66</v>
      </c>
      <c r="E4" s="138" t="s">
        <v>67</v>
      </c>
      <c r="F4" s="137" t="s">
        <v>68</v>
      </c>
      <c r="G4" s="137" t="s">
        <v>48</v>
      </c>
      <c r="H4" s="137" t="s">
        <v>1374</v>
      </c>
      <c r="I4" s="137" t="s">
        <v>69</v>
      </c>
      <c r="J4" s="137" t="s">
        <v>70</v>
      </c>
      <c r="K4" s="139" t="s">
        <v>71</v>
      </c>
      <c r="L4" s="132" t="s">
        <v>74</v>
      </c>
      <c r="M4" s="132" t="s">
        <v>75</v>
      </c>
      <c r="N4" s="132" t="s">
        <v>782</v>
      </c>
    </row>
    <row r="5" spans="1:14" s="57" customFormat="1" ht="65.099999999999994">
      <c r="A5" s="29" t="s">
        <v>1375</v>
      </c>
      <c r="B5" s="29" t="s">
        <v>37</v>
      </c>
      <c r="C5" s="26" t="s">
        <v>1376</v>
      </c>
      <c r="D5" s="26" t="s">
        <v>1377</v>
      </c>
      <c r="E5" s="26" t="s">
        <v>1378</v>
      </c>
      <c r="F5" s="26" t="s">
        <v>1379</v>
      </c>
      <c r="G5" s="25" t="s">
        <v>100</v>
      </c>
      <c r="H5" s="83" t="s">
        <v>1380</v>
      </c>
      <c r="I5" s="24" t="s">
        <v>12</v>
      </c>
      <c r="J5" s="26"/>
      <c r="K5" s="30" t="s">
        <v>85</v>
      </c>
      <c r="L5" s="133" t="s">
        <v>789</v>
      </c>
      <c r="M5" s="133"/>
      <c r="N5" s="136"/>
    </row>
    <row r="6" spans="1:14" s="57" customFormat="1" ht="65.099999999999994">
      <c r="A6" s="29" t="s">
        <v>1381</v>
      </c>
      <c r="B6" s="29" t="s">
        <v>37</v>
      </c>
      <c r="C6" s="26" t="s">
        <v>1382</v>
      </c>
      <c r="D6" s="26" t="s">
        <v>1377</v>
      </c>
      <c r="E6" s="26" t="s">
        <v>1383</v>
      </c>
      <c r="F6" s="26" t="s">
        <v>1379</v>
      </c>
      <c r="G6" s="25" t="s">
        <v>100</v>
      </c>
      <c r="H6" s="83" t="s">
        <v>1380</v>
      </c>
      <c r="I6" s="24" t="s">
        <v>12</v>
      </c>
      <c r="J6" s="159"/>
      <c r="K6" s="62" t="s">
        <v>85</v>
      </c>
      <c r="L6" s="133" t="s">
        <v>789</v>
      </c>
      <c r="M6" s="136"/>
      <c r="N6" s="136"/>
    </row>
    <row r="7" spans="1:14" s="57" customFormat="1" ht="51.95">
      <c r="A7" s="29" t="s">
        <v>1384</v>
      </c>
      <c r="B7" s="29" t="s">
        <v>37</v>
      </c>
      <c r="C7" s="26" t="s">
        <v>1385</v>
      </c>
      <c r="D7" s="26" t="s">
        <v>1386</v>
      </c>
      <c r="E7" s="26" t="s">
        <v>1387</v>
      </c>
      <c r="F7" s="29" t="s">
        <v>1388</v>
      </c>
      <c r="G7" s="25" t="s">
        <v>100</v>
      </c>
      <c r="H7" s="83" t="s">
        <v>1389</v>
      </c>
      <c r="I7" s="24" t="s">
        <v>13</v>
      </c>
      <c r="J7" s="29"/>
      <c r="K7" s="30" t="s">
        <v>85</v>
      </c>
      <c r="L7" s="133" t="s">
        <v>789</v>
      </c>
      <c r="M7" s="136"/>
      <c r="N7" s="136"/>
    </row>
    <row r="8" spans="1:14" s="57" customFormat="1" ht="51.95">
      <c r="A8" s="29" t="s">
        <v>1390</v>
      </c>
      <c r="B8" s="29" t="s">
        <v>37</v>
      </c>
      <c r="C8" s="29" t="s">
        <v>1391</v>
      </c>
      <c r="D8" s="26" t="s">
        <v>1386</v>
      </c>
      <c r="E8" s="26" t="s">
        <v>1392</v>
      </c>
      <c r="F8" s="29" t="s">
        <v>1393</v>
      </c>
      <c r="G8" s="25" t="s">
        <v>100</v>
      </c>
      <c r="H8" s="83" t="s">
        <v>1380</v>
      </c>
      <c r="I8" s="24"/>
      <c r="J8" s="29"/>
      <c r="K8" s="30" t="s">
        <v>85</v>
      </c>
      <c r="L8" s="133" t="s">
        <v>789</v>
      </c>
      <c r="M8" s="136"/>
      <c r="N8" s="136"/>
    </row>
    <row r="9" spans="1:14" s="57" customFormat="1" ht="51.95">
      <c r="A9" s="29" t="s">
        <v>1394</v>
      </c>
      <c r="B9" s="29" t="s">
        <v>37</v>
      </c>
      <c r="C9" s="26" t="s">
        <v>1395</v>
      </c>
      <c r="D9" s="26" t="s">
        <v>1386</v>
      </c>
      <c r="E9" s="26" t="s">
        <v>1396</v>
      </c>
      <c r="F9" s="29" t="s">
        <v>1397</v>
      </c>
      <c r="G9" s="25" t="s">
        <v>100</v>
      </c>
      <c r="H9" s="83" t="s">
        <v>1389</v>
      </c>
      <c r="I9" s="24" t="s">
        <v>14</v>
      </c>
      <c r="J9" s="29"/>
      <c r="K9" s="30" t="s">
        <v>85</v>
      </c>
      <c r="L9" s="133" t="s">
        <v>789</v>
      </c>
      <c r="M9" s="136"/>
      <c r="N9" s="136"/>
    </row>
    <row r="10" spans="1:14" ht="39.950000000000003">
      <c r="A10" s="29" t="s">
        <v>1398</v>
      </c>
      <c r="B10" s="29" t="s">
        <v>38</v>
      </c>
      <c r="C10" s="29" t="s">
        <v>1399</v>
      </c>
      <c r="D10" s="26" t="s">
        <v>1400</v>
      </c>
      <c r="E10" s="26" t="s">
        <v>1401</v>
      </c>
      <c r="F10" s="26" t="s">
        <v>1402</v>
      </c>
      <c r="G10" s="25" t="s">
        <v>100</v>
      </c>
      <c r="H10" s="160" t="s">
        <v>1380</v>
      </c>
      <c r="I10" s="24" t="s">
        <v>14</v>
      </c>
      <c r="J10" s="29"/>
      <c r="K10" s="63" t="s">
        <v>85</v>
      </c>
      <c r="L10" s="133" t="s">
        <v>789</v>
      </c>
      <c r="M10" s="136"/>
      <c r="N10" s="136"/>
    </row>
    <row r="11" spans="1:14" ht="51.95">
      <c r="A11" s="29" t="s">
        <v>1403</v>
      </c>
      <c r="B11" s="29" t="s">
        <v>38</v>
      </c>
      <c r="C11" s="29" t="s">
        <v>1404</v>
      </c>
      <c r="D11" s="29" t="s">
        <v>1405</v>
      </c>
      <c r="E11" s="29" t="s">
        <v>1406</v>
      </c>
      <c r="F11" s="29" t="s">
        <v>1407</v>
      </c>
      <c r="G11" s="83" t="s">
        <v>100</v>
      </c>
      <c r="H11" s="83" t="s">
        <v>1389</v>
      </c>
      <c r="I11" s="24" t="s">
        <v>14</v>
      </c>
      <c r="J11" s="64"/>
      <c r="K11" s="63" t="s">
        <v>85</v>
      </c>
      <c r="L11" s="133" t="s">
        <v>789</v>
      </c>
      <c r="M11" s="136"/>
      <c r="N11" s="136"/>
    </row>
    <row r="12" spans="1:14" ht="39">
      <c r="A12" s="29" t="s">
        <v>1408</v>
      </c>
      <c r="B12" s="29" t="s">
        <v>38</v>
      </c>
      <c r="C12" s="29" t="s">
        <v>1409</v>
      </c>
      <c r="D12" s="26" t="s">
        <v>1400</v>
      </c>
      <c r="E12" s="29" t="s">
        <v>1410</v>
      </c>
      <c r="F12" s="29" t="s">
        <v>1411</v>
      </c>
      <c r="G12" s="25" t="s">
        <v>100</v>
      </c>
      <c r="H12" s="83" t="s">
        <v>1389</v>
      </c>
      <c r="I12" s="24" t="s">
        <v>14</v>
      </c>
      <c r="J12" s="65"/>
      <c r="K12" s="30" t="s">
        <v>85</v>
      </c>
      <c r="L12" s="133" t="s">
        <v>789</v>
      </c>
      <c r="M12" s="136"/>
      <c r="N12" s="136"/>
    </row>
    <row r="13" spans="1:14" ht="39">
      <c r="A13" s="29" t="s">
        <v>1412</v>
      </c>
      <c r="B13" s="29" t="s">
        <v>39</v>
      </c>
      <c r="C13" s="29" t="s">
        <v>1413</v>
      </c>
      <c r="D13" s="26" t="s">
        <v>1414</v>
      </c>
      <c r="E13" s="29" t="s">
        <v>1415</v>
      </c>
      <c r="F13" s="26" t="s">
        <v>1416</v>
      </c>
      <c r="G13" s="25" t="s">
        <v>100</v>
      </c>
      <c r="H13" s="160" t="s">
        <v>1389</v>
      </c>
      <c r="I13" s="24" t="s">
        <v>14</v>
      </c>
      <c r="J13" s="141"/>
      <c r="K13" s="63" t="s">
        <v>85</v>
      </c>
      <c r="L13" s="133" t="s">
        <v>789</v>
      </c>
      <c r="M13" s="136"/>
      <c r="N13" s="136"/>
    </row>
    <row r="14" spans="1:14" ht="39">
      <c r="A14" s="29" t="s">
        <v>1417</v>
      </c>
      <c r="B14" s="29" t="s">
        <v>39</v>
      </c>
      <c r="C14" s="29" t="s">
        <v>1418</v>
      </c>
      <c r="D14" s="26" t="s">
        <v>1419</v>
      </c>
      <c r="E14" s="29" t="s">
        <v>1415</v>
      </c>
      <c r="F14" s="26" t="s">
        <v>1416</v>
      </c>
      <c r="G14" s="25" t="s">
        <v>100</v>
      </c>
      <c r="H14" s="83" t="s">
        <v>1389</v>
      </c>
      <c r="I14" s="24" t="s">
        <v>14</v>
      </c>
      <c r="J14" s="66"/>
      <c r="K14" s="67" t="s">
        <v>85</v>
      </c>
      <c r="L14" s="133" t="s">
        <v>789</v>
      </c>
      <c r="M14" s="136"/>
      <c r="N14" s="136"/>
    </row>
    <row r="15" spans="1:14" s="57" customFormat="1" ht="53.1">
      <c r="A15" s="29" t="s">
        <v>1420</v>
      </c>
      <c r="B15" s="29" t="s">
        <v>39</v>
      </c>
      <c r="C15" s="29" t="s">
        <v>1421</v>
      </c>
      <c r="D15" s="26" t="s">
        <v>1386</v>
      </c>
      <c r="E15" s="26" t="s">
        <v>1422</v>
      </c>
      <c r="F15" s="26" t="s">
        <v>1423</v>
      </c>
      <c r="G15" s="25" t="s">
        <v>100</v>
      </c>
      <c r="H15" s="83" t="s">
        <v>1389</v>
      </c>
      <c r="I15" s="24" t="s">
        <v>14</v>
      </c>
      <c r="J15" s="29"/>
      <c r="K15" s="30" t="s">
        <v>85</v>
      </c>
      <c r="L15" s="133" t="s">
        <v>789</v>
      </c>
      <c r="M15" s="136"/>
      <c r="N15" s="136"/>
    </row>
    <row r="16" spans="1:14" s="57" customFormat="1" ht="51.95">
      <c r="A16" s="29" t="s">
        <v>1424</v>
      </c>
      <c r="B16" s="29" t="s">
        <v>39</v>
      </c>
      <c r="C16" s="33" t="s">
        <v>1425</v>
      </c>
      <c r="D16" s="33" t="s">
        <v>1386</v>
      </c>
      <c r="E16" s="33" t="s">
        <v>1426</v>
      </c>
      <c r="F16" s="33" t="s">
        <v>1427</v>
      </c>
      <c r="G16" s="36" t="s">
        <v>100</v>
      </c>
      <c r="H16" s="83" t="s">
        <v>1389</v>
      </c>
      <c r="I16" s="24" t="s">
        <v>14</v>
      </c>
      <c r="J16" s="29"/>
      <c r="K16" s="33" t="s">
        <v>85</v>
      </c>
      <c r="L16" s="133" t="s">
        <v>789</v>
      </c>
      <c r="M16" s="136"/>
      <c r="N16" s="136"/>
    </row>
    <row r="17" spans="1:13" s="57" customFormat="1" ht="51.95">
      <c r="A17" s="29" t="s">
        <v>1428</v>
      </c>
      <c r="B17" s="29" t="s">
        <v>39</v>
      </c>
      <c r="C17" s="29" t="s">
        <v>1429</v>
      </c>
      <c r="D17" s="26" t="s">
        <v>1386</v>
      </c>
      <c r="E17" s="26" t="s">
        <v>1430</v>
      </c>
      <c r="F17" s="26" t="s">
        <v>1431</v>
      </c>
      <c r="G17" s="25" t="s">
        <v>100</v>
      </c>
      <c r="H17" s="36" t="s">
        <v>1432</v>
      </c>
      <c r="I17" s="24" t="s">
        <v>14</v>
      </c>
      <c r="J17" s="141"/>
      <c r="K17" s="30" t="s">
        <v>85</v>
      </c>
      <c r="L17" s="133" t="s">
        <v>789</v>
      </c>
      <c r="M17" s="151"/>
    </row>
    <row r="18" spans="1:13" s="57" customFormat="1" ht="51.95">
      <c r="A18" s="29" t="s">
        <v>1433</v>
      </c>
      <c r="B18" s="29" t="s">
        <v>39</v>
      </c>
      <c r="C18" s="33" t="s">
        <v>1434</v>
      </c>
      <c r="D18" s="33" t="s">
        <v>1386</v>
      </c>
      <c r="E18" s="33" t="s">
        <v>1435</v>
      </c>
      <c r="F18" s="33" t="s">
        <v>1436</v>
      </c>
      <c r="G18" s="36" t="s">
        <v>100</v>
      </c>
      <c r="H18" s="36" t="s">
        <v>1432</v>
      </c>
      <c r="I18" s="24" t="s">
        <v>14</v>
      </c>
      <c r="J18" s="141"/>
      <c r="K18" s="33" t="s">
        <v>85</v>
      </c>
      <c r="L18" s="133" t="s">
        <v>789</v>
      </c>
      <c r="M18" s="136"/>
    </row>
    <row r="19" spans="1:13" ht="78">
      <c r="A19" s="29" t="s">
        <v>1437</v>
      </c>
      <c r="B19" s="29" t="s">
        <v>39</v>
      </c>
      <c r="C19" s="29" t="s">
        <v>1438</v>
      </c>
      <c r="D19" s="29" t="s">
        <v>1439</v>
      </c>
      <c r="E19" s="29" t="s">
        <v>1440</v>
      </c>
      <c r="F19" s="29" t="s">
        <v>1441</v>
      </c>
      <c r="G19" s="83" t="s">
        <v>84</v>
      </c>
      <c r="H19" s="161" t="s">
        <v>1432</v>
      </c>
      <c r="I19" s="24" t="s">
        <v>14</v>
      </c>
      <c r="J19" s="141"/>
      <c r="K19" s="63" t="s">
        <v>85</v>
      </c>
      <c r="L19" s="133" t="s">
        <v>789</v>
      </c>
      <c r="M19" s="136"/>
    </row>
    <row r="20" spans="1:13" ht="78">
      <c r="A20" s="29" t="s">
        <v>1442</v>
      </c>
      <c r="B20" s="29" t="s">
        <v>39</v>
      </c>
      <c r="C20" s="33" t="s">
        <v>1443</v>
      </c>
      <c r="D20" s="33" t="s">
        <v>1439</v>
      </c>
      <c r="E20" s="33" t="s">
        <v>1440</v>
      </c>
      <c r="F20" s="33" t="s">
        <v>1444</v>
      </c>
      <c r="G20" s="83" t="s">
        <v>84</v>
      </c>
      <c r="H20" s="161" t="s">
        <v>1432</v>
      </c>
      <c r="I20" s="24" t="s">
        <v>14</v>
      </c>
      <c r="J20" s="141"/>
      <c r="K20" s="63" t="s">
        <v>85</v>
      </c>
      <c r="L20" s="133" t="s">
        <v>789</v>
      </c>
      <c r="M20" s="136"/>
    </row>
    <row r="21" spans="1:13">
      <c r="A21" s="136"/>
      <c r="B21" s="136"/>
      <c r="C21" s="136"/>
      <c r="D21" s="136"/>
      <c r="E21" s="136"/>
      <c r="F21" s="136"/>
      <c r="G21" s="162"/>
      <c r="H21" s="136"/>
      <c r="I21" s="136"/>
      <c r="J21" s="136"/>
      <c r="K21" s="136"/>
      <c r="L21" s="133"/>
      <c r="M21" s="136"/>
    </row>
    <row r="22" spans="1:13">
      <c r="A22" s="136"/>
      <c r="B22" s="136"/>
      <c r="C22" s="136"/>
      <c r="D22" s="136"/>
      <c r="E22" s="136"/>
      <c r="F22" s="136"/>
      <c r="G22" s="162"/>
      <c r="H22" s="136"/>
      <c r="I22" s="136"/>
      <c r="J22" s="136"/>
      <c r="K22" s="136"/>
      <c r="L22" s="133"/>
      <c r="M22" s="136"/>
    </row>
    <row r="23" spans="1:13">
      <c r="A23" s="136"/>
      <c r="B23" s="136"/>
      <c r="C23" s="136"/>
      <c r="D23" s="136"/>
      <c r="E23" s="136"/>
      <c r="F23" s="136"/>
      <c r="G23" s="162"/>
      <c r="H23" s="136"/>
      <c r="I23" s="136"/>
      <c r="J23" s="136"/>
      <c r="K23" s="136"/>
      <c r="L23" s="133"/>
      <c r="M23" s="136"/>
    </row>
    <row r="24" spans="1:13">
      <c r="A24" s="136"/>
      <c r="B24" s="136"/>
      <c r="C24" s="136"/>
      <c r="D24" s="136"/>
      <c r="E24" s="136"/>
      <c r="F24" s="136"/>
      <c r="G24" s="162"/>
      <c r="H24" s="136"/>
      <c r="I24" s="136"/>
      <c r="J24" s="136"/>
      <c r="K24" s="136"/>
      <c r="L24" s="133"/>
      <c r="M24" s="136"/>
    </row>
    <row r="25" spans="1:13">
      <c r="A25" s="136"/>
      <c r="B25" s="136"/>
      <c r="C25" s="136"/>
      <c r="D25" s="136"/>
      <c r="E25" s="136"/>
      <c r="F25" s="136"/>
      <c r="G25" s="162"/>
      <c r="H25" s="136"/>
      <c r="I25" s="136"/>
      <c r="J25" s="136"/>
      <c r="K25" s="136"/>
      <c r="L25" s="133"/>
      <c r="M25" s="136"/>
    </row>
    <row r="26" spans="1:13">
      <c r="A26" s="136"/>
      <c r="B26" s="136"/>
      <c r="C26" s="136"/>
      <c r="D26" s="136"/>
      <c r="E26" s="136"/>
      <c r="F26" s="136"/>
      <c r="G26" s="162"/>
      <c r="H26" s="136"/>
      <c r="I26" s="136"/>
      <c r="J26" s="136"/>
      <c r="K26" s="136"/>
      <c r="L26" s="133"/>
      <c r="M26" s="136"/>
    </row>
    <row r="27" spans="1:13">
      <c r="A27" s="136"/>
      <c r="B27" s="136"/>
      <c r="C27" s="136"/>
      <c r="D27" s="136"/>
      <c r="E27" s="136"/>
      <c r="F27" s="136"/>
      <c r="G27" s="162"/>
      <c r="H27" s="136"/>
      <c r="I27" s="136"/>
      <c r="J27" s="136"/>
      <c r="K27" s="136"/>
      <c r="L27" s="133"/>
      <c r="M27" s="136"/>
    </row>
    <row r="28" spans="1:13">
      <c r="A28" s="136"/>
      <c r="B28" s="136"/>
      <c r="C28" s="136"/>
      <c r="D28" s="136"/>
      <c r="E28" s="136"/>
      <c r="F28" s="136"/>
      <c r="G28" s="162"/>
      <c r="H28" s="136"/>
      <c r="I28" s="136"/>
      <c r="J28" s="136"/>
      <c r="K28" s="136"/>
      <c r="L28" s="133"/>
      <c r="M28" s="136"/>
    </row>
    <row r="29" spans="1:13">
      <c r="A29" s="136"/>
      <c r="B29" s="136"/>
      <c r="C29" s="136"/>
      <c r="D29" s="136"/>
      <c r="E29" s="136"/>
      <c r="F29" s="136"/>
      <c r="G29" s="162"/>
      <c r="H29" s="136"/>
      <c r="I29" s="136"/>
      <c r="J29" s="136"/>
      <c r="K29" s="136"/>
      <c r="L29" s="133"/>
      <c r="M29" s="136"/>
    </row>
    <row r="30" spans="1:13">
      <c r="A30" s="136"/>
      <c r="B30" s="136"/>
      <c r="C30" s="136"/>
      <c r="D30" s="136"/>
      <c r="E30" s="136"/>
      <c r="F30" s="136"/>
      <c r="G30" s="162"/>
      <c r="H30" s="136"/>
      <c r="I30" s="136"/>
      <c r="J30" s="136"/>
      <c r="K30" s="136"/>
      <c r="L30" s="133"/>
      <c r="M30" s="136"/>
    </row>
    <row r="31" spans="1:13">
      <c r="A31" s="136"/>
      <c r="B31" s="136"/>
      <c r="C31" s="136"/>
      <c r="D31" s="136"/>
      <c r="E31" s="136"/>
      <c r="F31" s="136"/>
      <c r="G31" s="162"/>
      <c r="H31" s="136"/>
      <c r="I31" s="136"/>
      <c r="J31" s="136"/>
      <c r="K31" s="136"/>
      <c r="L31" s="133"/>
      <c r="M31" s="136"/>
    </row>
    <row r="32" spans="1:13">
      <c r="A32" s="136"/>
      <c r="B32" s="136"/>
      <c r="C32" s="136"/>
      <c r="D32" s="136"/>
      <c r="E32" s="136"/>
      <c r="F32" s="136"/>
      <c r="G32" s="162"/>
      <c r="H32" s="136"/>
      <c r="I32" s="136"/>
      <c r="J32" s="136"/>
      <c r="K32" s="136"/>
      <c r="L32" s="133"/>
      <c r="M32" s="136"/>
    </row>
    <row r="33" spans="12:12">
      <c r="L33" s="133"/>
    </row>
    <row r="34" spans="12:12">
      <c r="L34" s="133"/>
    </row>
    <row r="35" spans="12:12">
      <c r="L35" s="133"/>
    </row>
    <row r="36" spans="12:12">
      <c r="L36" s="133"/>
    </row>
    <row r="37" spans="12:12">
      <c r="L37" s="133"/>
    </row>
    <row r="38" spans="12:12">
      <c r="L38" s="133"/>
    </row>
    <row r="39" spans="12:12">
      <c r="L39" s="133"/>
    </row>
    <row r="40" spans="12:12">
      <c r="L40" s="133"/>
    </row>
    <row r="41" spans="12:12">
      <c r="L41" s="133"/>
    </row>
    <row r="42" spans="12:12">
      <c r="L42" s="133"/>
    </row>
    <row r="43" spans="12:12">
      <c r="L43" s="133"/>
    </row>
    <row r="44" spans="12:12">
      <c r="L44" s="133"/>
    </row>
    <row r="45" spans="12:12">
      <c r="L45" s="133"/>
    </row>
    <row r="46" spans="12:12">
      <c r="L46" s="133"/>
    </row>
    <row r="47" spans="12:12">
      <c r="L47" s="133"/>
    </row>
    <row r="48" spans="12:12">
      <c r="L48" s="133"/>
    </row>
    <row r="49" spans="12:13">
      <c r="L49" s="133"/>
      <c r="M49" s="136"/>
    </row>
    <row r="50" spans="12:13">
      <c r="L50" s="133"/>
      <c r="M50" s="136"/>
    </row>
    <row r="51" spans="12:13">
      <c r="L51" s="133"/>
      <c r="M51" s="136"/>
    </row>
    <row r="52" spans="12:13">
      <c r="L52" s="133"/>
      <c r="M52" s="136"/>
    </row>
    <row r="53" spans="12:13">
      <c r="L53" s="133"/>
      <c r="M53" s="136"/>
    </row>
    <row r="54" spans="12:13">
      <c r="L54" s="133"/>
      <c r="M54" s="136"/>
    </row>
    <row r="55" spans="12:13">
      <c r="L55" s="133"/>
      <c r="M55" s="151"/>
    </row>
    <row r="56" spans="12:13">
      <c r="L56" s="133"/>
      <c r="M56" s="151"/>
    </row>
    <row r="57" spans="12:13">
      <c r="L57" s="133"/>
      <c r="M57" s="151"/>
    </row>
    <row r="58" spans="12:13">
      <c r="L58" s="133"/>
      <c r="M58" s="151"/>
    </row>
    <row r="59" spans="12:13">
      <c r="L59" s="133"/>
      <c r="M59" s="151"/>
    </row>
    <row r="60" spans="12:13">
      <c r="L60" s="133"/>
      <c r="M60" s="151"/>
    </row>
    <row r="61" spans="12:13">
      <c r="L61" s="133"/>
      <c r="M61" s="151"/>
    </row>
    <row r="62" spans="12:13">
      <c r="L62" s="133"/>
      <c r="M62" s="151"/>
    </row>
    <row r="63" spans="12:13">
      <c r="L63" s="133"/>
      <c r="M63" s="151"/>
    </row>
    <row r="64" spans="12:13">
      <c r="L64" s="133"/>
      <c r="M64" s="151"/>
    </row>
    <row r="65" spans="12:13">
      <c r="L65" s="133"/>
      <c r="M65" s="151"/>
    </row>
    <row r="66" spans="12:13">
      <c r="L66" s="133"/>
      <c r="M66" s="151"/>
    </row>
    <row r="67" spans="12:13">
      <c r="L67" s="133"/>
      <c r="M67" s="151"/>
    </row>
    <row r="68" spans="12:13">
      <c r="L68" s="133"/>
      <c r="M68" s="151"/>
    </row>
    <row r="69" spans="12:13">
      <c r="L69" s="133"/>
      <c r="M69" s="136"/>
    </row>
    <row r="70" spans="12:13">
      <c r="L70" s="133"/>
      <c r="M70" s="136"/>
    </row>
    <row r="71" spans="12:13">
      <c r="L71" s="133"/>
      <c r="M71" s="136"/>
    </row>
    <row r="72" spans="12:13">
      <c r="L72" s="133"/>
      <c r="M72" s="136"/>
    </row>
    <row r="73" spans="12:13">
      <c r="L73" s="133"/>
      <c r="M73" s="136"/>
    </row>
    <row r="74" spans="12:13">
      <c r="L74" s="133"/>
      <c r="M74" s="136"/>
    </row>
    <row r="75" spans="12:13">
      <c r="L75" s="133"/>
      <c r="M75" s="136"/>
    </row>
    <row r="76" spans="12:13">
      <c r="L76" s="133"/>
      <c r="M76" s="136"/>
    </row>
    <row r="77" spans="12:13">
      <c r="L77" s="133"/>
      <c r="M77" s="136"/>
    </row>
    <row r="78" spans="12:13">
      <c r="L78" s="133"/>
      <c r="M78" s="136"/>
    </row>
    <row r="79" spans="12:13">
      <c r="L79" s="133"/>
      <c r="M79" s="136"/>
    </row>
    <row r="80" spans="12:13">
      <c r="L80" s="133"/>
      <c r="M80" s="136"/>
    </row>
    <row r="81" spans="12:12">
      <c r="L81" s="133"/>
    </row>
    <row r="82" spans="12:12">
      <c r="L82" s="133"/>
    </row>
    <row r="83" spans="12:12">
      <c r="L83" s="133"/>
    </row>
    <row r="84" spans="12:12">
      <c r="L84" s="133"/>
    </row>
    <row r="85" spans="12:12">
      <c r="L85" s="133"/>
    </row>
    <row r="86" spans="12:12">
      <c r="L86" s="133"/>
    </row>
    <row r="87" spans="12:12">
      <c r="L87" s="133"/>
    </row>
    <row r="88" spans="12:12">
      <c r="L88" s="133"/>
    </row>
    <row r="89" spans="12:12">
      <c r="L89" s="133"/>
    </row>
    <row r="90" spans="12:12">
      <c r="L90" s="133"/>
    </row>
    <row r="91" spans="12:12">
      <c r="L91" s="133"/>
    </row>
    <row r="92" spans="12:12">
      <c r="L92" s="133"/>
    </row>
    <row r="93" spans="12:12">
      <c r="L93" s="133"/>
    </row>
    <row r="94" spans="12:12">
      <c r="L94" s="133"/>
    </row>
    <row r="95" spans="12:12">
      <c r="L95" s="133"/>
    </row>
    <row r="96" spans="12:12">
      <c r="L96" s="133"/>
    </row>
    <row r="97" spans="12:13">
      <c r="L97" s="133"/>
      <c r="M97" s="136"/>
    </row>
    <row r="98" spans="12:13">
      <c r="L98" s="133"/>
      <c r="M98" s="136"/>
    </row>
    <row r="99" spans="12:13">
      <c r="L99" s="133"/>
      <c r="M99" s="136"/>
    </row>
    <row r="100" spans="12:13">
      <c r="L100" s="133"/>
      <c r="M100" s="136"/>
    </row>
    <row r="101" spans="12:13">
      <c r="L101" s="133"/>
      <c r="M101" s="136"/>
    </row>
    <row r="102" spans="12:13">
      <c r="L102" s="133"/>
      <c r="M102" s="151"/>
    </row>
    <row r="103" spans="12:13">
      <c r="L103" s="133"/>
      <c r="M103" s="136"/>
    </row>
    <row r="104" spans="12:13">
      <c r="L104" s="133"/>
      <c r="M104" s="136"/>
    </row>
    <row r="105" spans="12:13">
      <c r="L105" s="133"/>
      <c r="M105" s="136"/>
    </row>
    <row r="106" spans="12:13">
      <c r="L106" s="133"/>
      <c r="M106" s="136"/>
    </row>
    <row r="107" spans="12:13">
      <c r="L107" s="133"/>
      <c r="M107" s="136"/>
    </row>
    <row r="108" spans="12:13">
      <c r="L108" s="133"/>
      <c r="M108" s="136"/>
    </row>
    <row r="109" spans="12:13">
      <c r="L109" s="133"/>
      <c r="M109" s="136"/>
    </row>
    <row r="110" spans="12:13">
      <c r="L110" s="133"/>
      <c r="M110" s="136"/>
    </row>
    <row r="111" spans="12:13">
      <c r="L111" s="133"/>
      <c r="M111" s="136"/>
    </row>
    <row r="112" spans="12:13">
      <c r="L112" s="133"/>
      <c r="M112" s="136"/>
    </row>
    <row r="113" spans="12:12">
      <c r="L113" s="133"/>
    </row>
    <row r="114" spans="12:12">
      <c r="L114" s="133"/>
    </row>
  </sheetData>
  <sheetProtection formatCells="0" formatColumns="0" formatRows="0" insertColumns="0" insertRows="0" insertHyperlinks="0" deleteColumns="0" deleteRows="0" sort="0" autoFilter="0" pivotTables="0"/>
  <mergeCells count="2">
    <mergeCell ref="A1:K1"/>
    <mergeCell ref="B3:G3"/>
  </mergeCells>
  <phoneticPr fontId="25" type="noConversion"/>
  <conditionalFormatting sqref="I1:I1048576">
    <cfRule type="cellIs" dxfId="5" priority="1" operator="equal">
      <formula>"N/A"</formula>
    </cfRule>
  </conditionalFormatting>
  <conditionalFormatting sqref="I5:I100">
    <cfRule type="cellIs" dxfId="4" priority="2" operator="equal">
      <formula>"Fail"</formula>
    </cfRule>
    <cfRule type="cellIs" dxfId="3" priority="3" operator="equal">
      <formula>"Pass"</formula>
    </cfRule>
  </conditionalFormatting>
  <dataValidations count="4">
    <dataValidation type="list" allowBlank="1" showErrorMessage="1" errorTitle="错误提示" error="请输入下拉列表中的值" sqref="G5:G1048576" xr:uid="{00000000-0002-0000-0700-000000000000}">
      <formula1>"P0,P1,P2"</formula1>
    </dataValidation>
    <dataValidation type="list" allowBlank="1" showInputMessage="1" showErrorMessage="1" errorTitle="错误提示" error="请输入下拉列表中的值" sqref="I5:I1048576" xr:uid="{00000000-0002-0000-0700-000001000000}">
      <formula1>"Pass,Fail,N/A"</formula1>
    </dataValidation>
    <dataValidation type="list" allowBlank="1" showInputMessage="1" showErrorMessage="1" sqref="L21:L114" xr:uid="{60A6D679-BF48-6E4C-A2A2-EA556EFFC3AD}">
      <formula1>"Yes,No,Todo"</formula1>
    </dataValidation>
    <dataValidation type="list" showInputMessage="1" showErrorMessage="1" sqref="L5:L20" xr:uid="{7D4CC272-3DC2-406A-A93C-BF3B15F35170}">
      <formula1>"可以实现,不可实现,需再评估确认"</formula1>
    </dataValidation>
  </dataValidations>
  <pageMargins left="0.75" right="0.75" top="1" bottom="1" header="0.5" footer="0.5"/>
  <pageSetup paperSize="9" scale="5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6"/>
  <sheetViews>
    <sheetView view="pageBreakPreview" topLeftCell="B1" zoomScaleNormal="100" workbookViewId="0">
      <pane ySplit="4" topLeftCell="J5" activePane="bottomLeft" state="frozen"/>
      <selection pane="bottomLeft" activeCell="J3" sqref="J3"/>
    </sheetView>
  </sheetViews>
  <sheetFormatPr defaultColWidth="9" defaultRowHeight="14.1"/>
  <cols>
    <col min="1" max="1" width="13" style="10" customWidth="1"/>
    <col min="2" max="2" width="10" style="10" customWidth="1"/>
    <col min="3" max="3" width="14.625" style="10" customWidth="1"/>
    <col min="4" max="4" width="20" style="10" customWidth="1"/>
    <col min="5" max="5" width="18.125" style="10" customWidth="1"/>
    <col min="6" max="6" width="33.625" style="10" customWidth="1"/>
    <col min="7" max="7" width="9" style="10" customWidth="1"/>
    <col min="8" max="8" width="9.875" style="10" customWidth="1"/>
    <col min="9" max="9" width="11.5" style="10" customWidth="1"/>
    <col min="10" max="10" width="12.5" style="10" customWidth="1"/>
    <col min="11" max="16384" width="9" style="10"/>
  </cols>
  <sheetData>
    <row r="1" spans="1:10" ht="20.100000000000001">
      <c r="A1" s="172" t="s">
        <v>1445</v>
      </c>
      <c r="B1" s="172"/>
      <c r="C1" s="172"/>
      <c r="D1" s="172"/>
      <c r="E1" s="172"/>
      <c r="F1" s="172"/>
      <c r="G1" s="172"/>
      <c r="H1" s="172"/>
      <c r="I1" s="172"/>
      <c r="J1" s="172"/>
    </row>
    <row r="2" spans="1:10">
      <c r="A2" s="12" t="s">
        <v>60</v>
      </c>
      <c r="B2" s="13" t="str">
        <f>IF(Summary!B3="","",Summary!B3)</f>
        <v/>
      </c>
      <c r="C2" s="12" t="s">
        <v>61</v>
      </c>
      <c r="D2" s="13" t="str">
        <f>IF(Summary!B4="","",Summary!B4)</f>
        <v/>
      </c>
      <c r="E2" s="12" t="s">
        <v>8</v>
      </c>
      <c r="F2" s="14" t="str">
        <f>IF(Summary!B8="","",Summary!B8)</f>
        <v/>
      </c>
      <c r="G2" s="15" t="s">
        <v>11</v>
      </c>
      <c r="H2" s="15" t="s">
        <v>12</v>
      </c>
      <c r="I2" s="16" t="s">
        <v>13</v>
      </c>
      <c r="J2" s="15" t="s">
        <v>14</v>
      </c>
    </row>
    <row r="3" spans="1:10">
      <c r="A3" s="16" t="s">
        <v>62</v>
      </c>
      <c r="B3" s="173"/>
      <c r="C3" s="174"/>
      <c r="D3" s="174"/>
      <c r="E3" s="174"/>
      <c r="F3" s="175"/>
      <c r="G3" s="17">
        <f>COUNTIFS(B:B,"*")-2</f>
        <v>20</v>
      </c>
      <c r="H3" s="17">
        <f>COUNTIFS($H4:$H499,H2)</f>
        <v>0</v>
      </c>
      <c r="I3" s="17">
        <f t="shared" ref="I3:J3" si="0">COUNTIFS($H4:$H499,I2)</f>
        <v>0</v>
      </c>
      <c r="J3" s="17">
        <f t="shared" si="0"/>
        <v>0</v>
      </c>
    </row>
    <row r="4" spans="1:10">
      <c r="A4" s="137" t="s">
        <v>63</v>
      </c>
      <c r="B4" s="137" t="s">
        <v>64</v>
      </c>
      <c r="C4" s="18" t="s">
        <v>65</v>
      </c>
      <c r="D4" s="18" t="s">
        <v>66</v>
      </c>
      <c r="E4" s="138" t="s">
        <v>67</v>
      </c>
      <c r="F4" s="137" t="s">
        <v>68</v>
      </c>
      <c r="G4" s="137" t="s">
        <v>48</v>
      </c>
      <c r="H4" s="137" t="s">
        <v>69</v>
      </c>
      <c r="I4" s="137" t="s">
        <v>70</v>
      </c>
      <c r="J4" s="139" t="s">
        <v>71</v>
      </c>
    </row>
    <row r="5" spans="1:10" ht="69.95">
      <c r="A5" s="19">
        <v>1</v>
      </c>
      <c r="B5" s="20" t="s">
        <v>25</v>
      </c>
      <c r="C5" s="19" t="s">
        <v>1446</v>
      </c>
      <c r="D5" s="21" t="s">
        <v>1447</v>
      </c>
      <c r="E5" s="22" t="s">
        <v>1448</v>
      </c>
      <c r="F5" s="22" t="s">
        <v>1449</v>
      </c>
      <c r="G5" s="23" t="s">
        <v>100</v>
      </c>
      <c r="H5" s="24"/>
      <c r="I5" s="48"/>
      <c r="J5" s="19"/>
    </row>
    <row r="6" spans="1:10" ht="69.95">
      <c r="A6" s="19">
        <v>2</v>
      </c>
      <c r="B6" s="20" t="s">
        <v>25</v>
      </c>
      <c r="C6" s="19" t="s">
        <v>1446</v>
      </c>
      <c r="D6" s="21" t="s">
        <v>1447</v>
      </c>
      <c r="E6" s="22" t="s">
        <v>1450</v>
      </c>
      <c r="F6" s="22" t="s">
        <v>1449</v>
      </c>
      <c r="G6" s="23" t="s">
        <v>100</v>
      </c>
      <c r="H6" s="24"/>
      <c r="I6" s="48"/>
      <c r="J6" s="19"/>
    </row>
    <row r="7" spans="1:10" ht="69.95">
      <c r="A7" s="19">
        <v>3</v>
      </c>
      <c r="B7" s="20" t="s">
        <v>25</v>
      </c>
      <c r="C7" s="19" t="s">
        <v>1446</v>
      </c>
      <c r="D7" s="21" t="s">
        <v>1451</v>
      </c>
      <c r="E7" s="22" t="s">
        <v>1452</v>
      </c>
      <c r="F7" s="22" t="s">
        <v>1449</v>
      </c>
      <c r="G7" s="23" t="s">
        <v>100</v>
      </c>
      <c r="H7" s="24"/>
      <c r="I7" s="48"/>
      <c r="J7" s="19"/>
    </row>
    <row r="8" spans="1:10" ht="69.95">
      <c r="A8" s="19">
        <v>4</v>
      </c>
      <c r="B8" s="20" t="s">
        <v>25</v>
      </c>
      <c r="C8" s="19" t="s">
        <v>1446</v>
      </c>
      <c r="D8" s="21" t="s">
        <v>1451</v>
      </c>
      <c r="E8" s="22" t="s">
        <v>1453</v>
      </c>
      <c r="F8" s="22" t="s">
        <v>1449</v>
      </c>
      <c r="G8" s="23" t="s">
        <v>100</v>
      </c>
      <c r="H8" s="24"/>
      <c r="I8" s="48"/>
      <c r="J8" s="19"/>
    </row>
    <row r="9" spans="1:10" ht="56.1">
      <c r="A9" s="19">
        <v>5</v>
      </c>
      <c r="B9" s="20" t="s">
        <v>26</v>
      </c>
      <c r="C9" s="20" t="s">
        <v>1454</v>
      </c>
      <c r="D9" s="21" t="s">
        <v>1455</v>
      </c>
      <c r="E9" s="22" t="s">
        <v>1456</v>
      </c>
      <c r="F9" s="22" t="s">
        <v>1457</v>
      </c>
      <c r="G9" s="23" t="s">
        <v>703</v>
      </c>
      <c r="H9" s="24"/>
      <c r="I9" s="48"/>
      <c r="J9" s="19"/>
    </row>
    <row r="10" spans="1:10" ht="56.1">
      <c r="A10" s="19">
        <v>6</v>
      </c>
      <c r="B10" s="20" t="s">
        <v>26</v>
      </c>
      <c r="C10" s="20" t="s">
        <v>1454</v>
      </c>
      <c r="D10" s="21" t="s">
        <v>1455</v>
      </c>
      <c r="E10" s="22" t="s">
        <v>1458</v>
      </c>
      <c r="F10" s="22" t="s">
        <v>1459</v>
      </c>
      <c r="G10" s="23" t="s">
        <v>703</v>
      </c>
      <c r="H10" s="24"/>
      <c r="I10" s="48"/>
      <c r="J10" s="19"/>
    </row>
    <row r="11" spans="1:10" ht="56.1">
      <c r="A11" s="19">
        <v>7</v>
      </c>
      <c r="B11" s="20" t="s">
        <v>26</v>
      </c>
      <c r="C11" s="20" t="s">
        <v>1460</v>
      </c>
      <c r="D11" s="21" t="s">
        <v>1455</v>
      </c>
      <c r="E11" s="22" t="s">
        <v>1456</v>
      </c>
      <c r="F11" s="22" t="s">
        <v>1461</v>
      </c>
      <c r="G11" s="23" t="s">
        <v>100</v>
      </c>
      <c r="H11" s="24"/>
      <c r="I11" s="48"/>
      <c r="J11" s="19"/>
    </row>
    <row r="12" spans="1:10" ht="56.1">
      <c r="A12" s="19">
        <v>8</v>
      </c>
      <c r="B12" s="20" t="s">
        <v>26</v>
      </c>
      <c r="C12" s="20" t="s">
        <v>1460</v>
      </c>
      <c r="D12" s="21" t="s">
        <v>1455</v>
      </c>
      <c r="E12" s="22" t="s">
        <v>1458</v>
      </c>
      <c r="F12" s="22" t="s">
        <v>1462</v>
      </c>
      <c r="G12" s="23" t="s">
        <v>100</v>
      </c>
      <c r="H12" s="24"/>
      <c r="I12" s="48"/>
      <c r="J12" s="19"/>
    </row>
    <row r="13" spans="1:10" ht="56.1">
      <c r="A13" s="19">
        <v>9</v>
      </c>
      <c r="B13" s="20" t="s">
        <v>26</v>
      </c>
      <c r="C13" s="20" t="s">
        <v>1463</v>
      </c>
      <c r="D13" s="21" t="s">
        <v>1455</v>
      </c>
      <c r="E13" s="22" t="s">
        <v>1456</v>
      </c>
      <c r="F13" s="22" t="s">
        <v>1464</v>
      </c>
      <c r="G13" s="23" t="s">
        <v>100</v>
      </c>
      <c r="H13" s="24"/>
      <c r="I13" s="48"/>
      <c r="J13" s="19"/>
    </row>
    <row r="14" spans="1:10" ht="56.1">
      <c r="A14" s="19">
        <v>10</v>
      </c>
      <c r="B14" s="20" t="s">
        <v>26</v>
      </c>
      <c r="C14" s="20" t="s">
        <v>1463</v>
      </c>
      <c r="D14" s="21" t="s">
        <v>1455</v>
      </c>
      <c r="E14" s="22" t="s">
        <v>1458</v>
      </c>
      <c r="F14" s="22" t="s">
        <v>1464</v>
      </c>
      <c r="G14" s="23" t="s">
        <v>100</v>
      </c>
      <c r="H14" s="24"/>
      <c r="I14" s="48"/>
      <c r="J14" s="19"/>
    </row>
    <row r="15" spans="1:10" ht="69.95">
      <c r="A15" s="19">
        <v>11</v>
      </c>
      <c r="B15" s="20" t="s">
        <v>27</v>
      </c>
      <c r="C15" s="19" t="s">
        <v>1446</v>
      </c>
      <c r="D15" s="21" t="s">
        <v>1465</v>
      </c>
      <c r="E15" s="22" t="s">
        <v>1466</v>
      </c>
      <c r="F15" s="22" t="s">
        <v>1449</v>
      </c>
      <c r="G15" s="23" t="s">
        <v>703</v>
      </c>
      <c r="H15" s="24"/>
      <c r="I15" s="48"/>
      <c r="J15" s="19"/>
    </row>
    <row r="16" spans="1:10" ht="69.95">
      <c r="A16" s="19">
        <v>12</v>
      </c>
      <c r="B16" s="20" t="s">
        <v>27</v>
      </c>
      <c r="C16" s="19" t="s">
        <v>1446</v>
      </c>
      <c r="D16" s="21" t="s">
        <v>1465</v>
      </c>
      <c r="E16" s="22" t="s">
        <v>1467</v>
      </c>
      <c r="F16" s="22" t="s">
        <v>1449</v>
      </c>
      <c r="G16" s="23" t="s">
        <v>703</v>
      </c>
      <c r="H16" s="24"/>
      <c r="I16" s="48"/>
      <c r="J16" s="19"/>
    </row>
    <row r="17" spans="1:10" ht="69.95">
      <c r="A17" s="19">
        <v>13</v>
      </c>
      <c r="B17" s="20" t="s">
        <v>27</v>
      </c>
      <c r="C17" s="19" t="s">
        <v>1446</v>
      </c>
      <c r="D17" s="21" t="s">
        <v>1468</v>
      </c>
      <c r="E17" s="22" t="s">
        <v>1469</v>
      </c>
      <c r="F17" s="22" t="s">
        <v>1449</v>
      </c>
      <c r="G17" s="23" t="s">
        <v>703</v>
      </c>
      <c r="H17" s="24"/>
      <c r="I17" s="48"/>
      <c r="J17" s="19"/>
    </row>
    <row r="18" spans="1:10" ht="69.95">
      <c r="A18" s="19">
        <v>14</v>
      </c>
      <c r="B18" s="20" t="s">
        <v>27</v>
      </c>
      <c r="C18" s="19" t="s">
        <v>1446</v>
      </c>
      <c r="D18" s="21" t="s">
        <v>1468</v>
      </c>
      <c r="E18" s="22" t="s">
        <v>1470</v>
      </c>
      <c r="F18" s="22" t="s">
        <v>1449</v>
      </c>
      <c r="G18" s="23" t="s">
        <v>703</v>
      </c>
      <c r="H18" s="24"/>
      <c r="I18" s="48"/>
      <c r="J18" s="19"/>
    </row>
    <row r="19" spans="1:10" ht="56.1">
      <c r="A19" s="19">
        <v>15</v>
      </c>
      <c r="B19" s="20" t="s">
        <v>28</v>
      </c>
      <c r="C19" s="20" t="s">
        <v>1454</v>
      </c>
      <c r="D19" s="21" t="s">
        <v>1471</v>
      </c>
      <c r="E19" s="22" t="s">
        <v>1472</v>
      </c>
      <c r="F19" s="22" t="s">
        <v>1457</v>
      </c>
      <c r="G19" s="23" t="s">
        <v>703</v>
      </c>
      <c r="H19" s="24"/>
      <c r="I19" s="48"/>
      <c r="J19" s="19"/>
    </row>
    <row r="20" spans="1:10" ht="56.1">
      <c r="A20" s="19">
        <v>16</v>
      </c>
      <c r="B20" s="20" t="s">
        <v>28</v>
      </c>
      <c r="C20" s="20" t="s">
        <v>1454</v>
      </c>
      <c r="D20" s="21" t="s">
        <v>1471</v>
      </c>
      <c r="E20" s="22" t="s">
        <v>1473</v>
      </c>
      <c r="F20" s="22" t="s">
        <v>1459</v>
      </c>
      <c r="G20" s="23" t="s">
        <v>703</v>
      </c>
      <c r="H20" s="24"/>
      <c r="I20" s="48"/>
      <c r="J20" s="19"/>
    </row>
    <row r="21" spans="1:10" ht="56.1">
      <c r="A21" s="19">
        <v>17</v>
      </c>
      <c r="B21" s="20" t="s">
        <v>28</v>
      </c>
      <c r="C21" s="20" t="s">
        <v>1460</v>
      </c>
      <c r="D21" s="21" t="s">
        <v>1471</v>
      </c>
      <c r="E21" s="22" t="s">
        <v>1472</v>
      </c>
      <c r="F21" s="22" t="s">
        <v>1474</v>
      </c>
      <c r="G21" s="23" t="s">
        <v>100</v>
      </c>
      <c r="H21" s="24"/>
      <c r="I21" s="48"/>
      <c r="J21" s="19"/>
    </row>
    <row r="22" spans="1:10" ht="56.1">
      <c r="A22" s="19">
        <v>18</v>
      </c>
      <c r="B22" s="20" t="s">
        <v>28</v>
      </c>
      <c r="C22" s="20" t="s">
        <v>1460</v>
      </c>
      <c r="D22" s="21" t="s">
        <v>1471</v>
      </c>
      <c r="E22" s="22" t="s">
        <v>1473</v>
      </c>
      <c r="F22" s="22" t="s">
        <v>1462</v>
      </c>
      <c r="G22" s="23" t="s">
        <v>100</v>
      </c>
      <c r="H22" s="24"/>
      <c r="I22" s="48"/>
      <c r="J22" s="19"/>
    </row>
    <row r="23" spans="1:10" ht="56.1">
      <c r="A23" s="19">
        <v>19</v>
      </c>
      <c r="B23" s="20" t="s">
        <v>28</v>
      </c>
      <c r="C23" s="20" t="s">
        <v>1463</v>
      </c>
      <c r="D23" s="21" t="s">
        <v>1471</v>
      </c>
      <c r="E23" s="22" t="s">
        <v>1472</v>
      </c>
      <c r="F23" s="22" t="s">
        <v>1464</v>
      </c>
      <c r="G23" s="23" t="s">
        <v>100</v>
      </c>
      <c r="H23" s="24"/>
      <c r="I23" s="48"/>
      <c r="J23" s="19"/>
    </row>
    <row r="24" spans="1:10" ht="56.1">
      <c r="A24" s="19">
        <v>20</v>
      </c>
      <c r="B24" s="20" t="s">
        <v>28</v>
      </c>
      <c r="C24" s="20" t="s">
        <v>1463</v>
      </c>
      <c r="D24" s="21" t="s">
        <v>1471</v>
      </c>
      <c r="E24" s="22" t="s">
        <v>1473</v>
      </c>
      <c r="F24" s="22" t="s">
        <v>1475</v>
      </c>
      <c r="G24" s="23" t="s">
        <v>100</v>
      </c>
      <c r="H24" s="24"/>
      <c r="I24" s="48"/>
      <c r="J24" s="19"/>
    </row>
    <row r="25" spans="1:10">
      <c r="A25" s="25"/>
      <c r="B25" s="155"/>
      <c r="C25" s="26"/>
      <c r="D25" s="27"/>
      <c r="E25" s="28"/>
      <c r="F25" s="155"/>
      <c r="G25" s="25"/>
      <c r="H25" s="24"/>
      <c r="I25" s="49"/>
      <c r="J25" s="30"/>
    </row>
    <row r="26" spans="1:10">
      <c r="A26" s="25"/>
      <c r="B26" s="155"/>
      <c r="C26" s="26"/>
      <c r="D26" s="27"/>
      <c r="E26" s="28"/>
      <c r="F26" s="155"/>
      <c r="G26" s="25"/>
      <c r="H26" s="24"/>
      <c r="I26" s="49"/>
      <c r="J26" s="30"/>
    </row>
    <row r="27" spans="1:10">
      <c r="A27" s="25"/>
      <c r="B27" s="155"/>
      <c r="C27" s="26"/>
      <c r="D27" s="27"/>
      <c r="E27" s="28"/>
      <c r="F27" s="155"/>
      <c r="G27" s="25"/>
      <c r="H27" s="24"/>
      <c r="I27" s="49"/>
      <c r="J27" s="30"/>
    </row>
    <row r="28" spans="1:10">
      <c r="A28" s="25"/>
      <c r="B28" s="155"/>
      <c r="C28" s="26"/>
      <c r="D28" s="27"/>
      <c r="E28" s="28"/>
      <c r="F28" s="29"/>
      <c r="G28" s="25"/>
      <c r="H28" s="24"/>
      <c r="I28" s="49"/>
      <c r="J28" s="30"/>
    </row>
    <row r="29" spans="1:10">
      <c r="A29" s="25"/>
      <c r="B29" s="155"/>
      <c r="C29" s="26"/>
      <c r="D29" s="27"/>
      <c r="E29" s="28"/>
      <c r="F29" s="155"/>
      <c r="G29" s="25"/>
      <c r="H29" s="24"/>
      <c r="I29" s="49"/>
      <c r="J29" s="30"/>
    </row>
    <row r="30" spans="1:10">
      <c r="A30" s="25"/>
      <c r="B30" s="155"/>
      <c r="C30" s="26"/>
      <c r="D30" s="27"/>
      <c r="E30" s="28"/>
      <c r="F30" s="29"/>
      <c r="G30" s="25"/>
      <c r="H30" s="24"/>
      <c r="I30" s="49"/>
      <c r="J30" s="30"/>
    </row>
    <row r="31" spans="1:10">
      <c r="A31" s="25"/>
      <c r="B31" s="155"/>
      <c r="C31" s="26"/>
      <c r="D31" s="27"/>
      <c r="E31" s="28"/>
      <c r="F31" s="155"/>
      <c r="G31" s="25"/>
      <c r="H31" s="24"/>
      <c r="I31" s="49"/>
      <c r="J31" s="30"/>
    </row>
    <row r="32" spans="1:10">
      <c r="A32" s="25"/>
      <c r="B32" s="155"/>
      <c r="C32" s="26"/>
      <c r="D32" s="27"/>
      <c r="E32" s="28"/>
      <c r="F32" s="155"/>
      <c r="G32" s="25"/>
      <c r="H32" s="24"/>
      <c r="I32" s="49"/>
      <c r="J32" s="30"/>
    </row>
    <row r="33" spans="1:10" ht="15.95">
      <c r="A33" s="25"/>
      <c r="B33" s="155"/>
      <c r="C33" s="26"/>
      <c r="D33" s="27"/>
      <c r="E33" s="28"/>
      <c r="F33" s="29"/>
      <c r="G33" s="25"/>
      <c r="H33" s="24"/>
      <c r="I33" s="50"/>
      <c r="J33" s="30"/>
    </row>
    <row r="34" spans="1:10">
      <c r="A34" s="25"/>
      <c r="B34" s="155"/>
      <c r="C34" s="30"/>
      <c r="D34" s="31"/>
      <c r="E34" s="32"/>
      <c r="F34" s="30"/>
      <c r="G34" s="25"/>
      <c r="H34" s="24"/>
      <c r="I34" s="49"/>
      <c r="J34" s="30"/>
    </row>
    <row r="35" spans="1:10">
      <c r="A35" s="25"/>
      <c r="B35" s="155"/>
      <c r="C35" s="30"/>
      <c r="D35" s="31"/>
      <c r="E35" s="32"/>
      <c r="F35" s="30"/>
      <c r="G35" s="25"/>
      <c r="H35" s="24"/>
      <c r="I35" s="49"/>
      <c r="J35" s="30"/>
    </row>
    <row r="36" spans="1:10">
      <c r="A36" s="25"/>
      <c r="B36" s="30"/>
      <c r="C36" s="30"/>
      <c r="D36" s="31"/>
      <c r="E36" s="32"/>
      <c r="F36" s="30"/>
      <c r="G36" s="25"/>
      <c r="H36" s="24"/>
      <c r="I36" s="49"/>
      <c r="J36" s="30"/>
    </row>
    <row r="37" spans="1:10">
      <c r="A37" s="25"/>
      <c r="B37" s="30"/>
      <c r="C37" s="30"/>
      <c r="D37" s="31"/>
      <c r="E37" s="32"/>
      <c r="F37" s="30"/>
      <c r="G37" s="25"/>
      <c r="H37" s="24"/>
      <c r="I37" s="49"/>
      <c r="J37" s="30"/>
    </row>
    <row r="38" spans="1:10">
      <c r="A38" s="25"/>
      <c r="B38" s="30"/>
      <c r="C38" s="30"/>
      <c r="D38" s="31"/>
      <c r="E38" s="32"/>
      <c r="F38" s="30"/>
      <c r="G38" s="25"/>
      <c r="H38" s="24"/>
      <c r="I38" s="49"/>
      <c r="J38" s="30"/>
    </row>
    <row r="39" spans="1:10">
      <c r="A39" s="25"/>
      <c r="B39" s="30"/>
      <c r="C39" s="30"/>
      <c r="D39" s="31"/>
      <c r="E39" s="32"/>
      <c r="F39" s="30"/>
      <c r="G39" s="25"/>
      <c r="H39" s="24"/>
      <c r="I39" s="49"/>
      <c r="J39" s="30"/>
    </row>
    <row r="40" spans="1:10">
      <c r="A40" s="25"/>
      <c r="B40" s="30"/>
      <c r="C40" s="30"/>
      <c r="D40" s="31"/>
      <c r="E40" s="32"/>
      <c r="F40" s="30"/>
      <c r="G40" s="25"/>
      <c r="H40" s="24"/>
      <c r="I40" s="49"/>
      <c r="J40" s="30"/>
    </row>
    <row r="41" spans="1:10">
      <c r="A41" s="25"/>
      <c r="B41" s="30"/>
      <c r="C41" s="30"/>
      <c r="D41" s="31"/>
      <c r="E41" s="32"/>
      <c r="F41" s="30"/>
      <c r="G41" s="25"/>
      <c r="H41" s="24"/>
      <c r="I41" s="49"/>
      <c r="J41" s="30"/>
    </row>
    <row r="42" spans="1:10">
      <c r="A42" s="25"/>
      <c r="B42" s="30"/>
      <c r="C42" s="30"/>
      <c r="D42" s="31"/>
      <c r="E42" s="32"/>
      <c r="F42" s="30"/>
      <c r="G42" s="25"/>
      <c r="H42" s="24"/>
      <c r="I42" s="49"/>
      <c r="J42" s="30"/>
    </row>
    <row r="43" spans="1:10">
      <c r="A43" s="25"/>
      <c r="B43" s="30"/>
      <c r="C43" s="30"/>
      <c r="D43" s="31"/>
      <c r="E43" s="32"/>
      <c r="F43" s="30"/>
      <c r="G43" s="25"/>
      <c r="H43" s="24"/>
      <c r="I43" s="49"/>
      <c r="J43" s="30"/>
    </row>
    <row r="44" spans="1:10">
      <c r="A44" s="25"/>
      <c r="B44" s="33"/>
      <c r="C44" s="33"/>
      <c r="D44" s="34"/>
      <c r="E44" s="35"/>
      <c r="F44" s="33"/>
      <c r="G44" s="36"/>
      <c r="H44" s="163"/>
      <c r="I44" s="51"/>
      <c r="J44" s="33"/>
    </row>
    <row r="45" spans="1:10">
      <c r="A45" s="25"/>
      <c r="B45" s="29"/>
      <c r="C45" s="26"/>
      <c r="D45" s="37"/>
      <c r="E45" s="27"/>
      <c r="F45" s="38"/>
      <c r="G45" s="25"/>
      <c r="H45" s="24"/>
      <c r="I45" s="26"/>
      <c r="J45" s="30"/>
    </row>
    <row r="46" spans="1:10">
      <c r="A46" s="25"/>
      <c r="B46" s="29"/>
      <c r="C46" s="33"/>
      <c r="D46" s="39"/>
      <c r="E46" s="34"/>
      <c r="F46" s="40"/>
      <c r="G46" s="36"/>
      <c r="H46" s="163"/>
      <c r="I46" s="33"/>
      <c r="J46" s="33"/>
    </row>
    <row r="47" spans="1:10">
      <c r="A47" s="25"/>
      <c r="B47" s="29"/>
      <c r="C47" s="33"/>
      <c r="D47" s="39"/>
      <c r="E47" s="34"/>
      <c r="F47" s="40"/>
      <c r="G47" s="36"/>
      <c r="H47" s="163"/>
      <c r="I47" s="33"/>
      <c r="J47" s="33"/>
    </row>
    <row r="48" spans="1:10">
      <c r="A48" s="25"/>
      <c r="B48" s="29"/>
      <c r="C48" s="26"/>
      <c r="D48" s="37"/>
      <c r="E48" s="153"/>
      <c r="F48" s="154"/>
      <c r="G48" s="25"/>
      <c r="H48" s="24"/>
      <c r="I48" s="26"/>
      <c r="J48" s="30"/>
    </row>
    <row r="49" spans="1:10">
      <c r="A49" s="25"/>
      <c r="B49" s="29"/>
      <c r="C49" s="26"/>
      <c r="D49" s="37"/>
      <c r="E49" s="28"/>
      <c r="F49" s="155"/>
      <c r="G49" s="25"/>
      <c r="H49" s="24"/>
      <c r="I49" s="26"/>
      <c r="J49" s="30"/>
    </row>
    <row r="50" spans="1:10">
      <c r="A50" s="25"/>
      <c r="B50" s="41"/>
      <c r="C50" s="32"/>
      <c r="D50" s="37"/>
      <c r="E50" s="32"/>
      <c r="F50" s="32"/>
      <c r="G50" s="25"/>
      <c r="H50" s="24"/>
      <c r="I50" s="26"/>
      <c r="J50" s="30"/>
    </row>
    <row r="51" spans="1:10">
      <c r="A51" s="25"/>
      <c r="B51" s="41"/>
      <c r="C51" s="32"/>
      <c r="D51" s="37"/>
      <c r="E51" s="32"/>
      <c r="F51" s="32"/>
      <c r="G51" s="25"/>
      <c r="H51" s="24"/>
      <c r="I51" s="26"/>
      <c r="J51" s="30"/>
    </row>
    <row r="52" spans="1:10">
      <c r="A52" s="25"/>
      <c r="B52" s="41"/>
      <c r="C52" s="32"/>
      <c r="D52" s="37"/>
      <c r="E52" s="32"/>
      <c r="F52" s="32"/>
      <c r="G52" s="25"/>
      <c r="H52" s="24"/>
      <c r="I52" s="26"/>
      <c r="J52" s="30"/>
    </row>
    <row r="53" spans="1:10">
      <c r="A53" s="25"/>
      <c r="B53" s="41"/>
      <c r="C53" s="32"/>
      <c r="D53" s="37"/>
      <c r="E53" s="32"/>
      <c r="F53" s="32"/>
      <c r="G53" s="25"/>
      <c r="H53" s="24"/>
      <c r="I53" s="26"/>
      <c r="J53" s="30"/>
    </row>
    <row r="54" spans="1:10">
      <c r="A54" s="25"/>
      <c r="B54" s="41"/>
      <c r="C54" s="32"/>
      <c r="D54" s="37"/>
      <c r="E54" s="32"/>
      <c r="F54" s="32"/>
      <c r="G54" s="25"/>
      <c r="H54" s="24"/>
      <c r="I54" s="26"/>
      <c r="J54" s="30"/>
    </row>
    <row r="55" spans="1:10">
      <c r="A55" s="25"/>
      <c r="B55" s="41"/>
      <c r="C55" s="32"/>
      <c r="D55" s="37"/>
      <c r="E55" s="32"/>
      <c r="F55" s="155"/>
      <c r="G55" s="25"/>
      <c r="H55" s="24"/>
      <c r="I55" s="26"/>
      <c r="J55" s="30"/>
    </row>
    <row r="56" spans="1:10">
      <c r="A56" s="25"/>
      <c r="B56" s="41"/>
      <c r="C56" s="32"/>
      <c r="D56" s="37"/>
      <c r="E56" s="32"/>
      <c r="F56" s="155"/>
      <c r="G56" s="25"/>
      <c r="H56" s="24"/>
      <c r="I56" s="26"/>
      <c r="J56" s="30"/>
    </row>
    <row r="57" spans="1:10">
      <c r="A57" s="25"/>
      <c r="B57" s="41"/>
      <c r="C57" s="32"/>
      <c r="D57" s="37"/>
      <c r="E57" s="32"/>
      <c r="F57" s="155"/>
      <c r="G57" s="25"/>
      <c r="H57" s="24"/>
      <c r="I57" s="26"/>
      <c r="J57" s="30"/>
    </row>
    <row r="58" spans="1:10">
      <c r="A58" s="25"/>
      <c r="B58" s="41"/>
      <c r="C58" s="32"/>
      <c r="D58" s="37"/>
      <c r="E58" s="32"/>
      <c r="F58" s="155"/>
      <c r="G58" s="25"/>
      <c r="H58" s="24"/>
      <c r="I58" s="26"/>
      <c r="J58" s="30"/>
    </row>
    <row r="59" spans="1:10">
      <c r="A59" s="25"/>
      <c r="B59" s="41"/>
      <c r="C59" s="32"/>
      <c r="D59" s="37"/>
      <c r="E59" s="32"/>
      <c r="F59" s="155"/>
      <c r="G59" s="25"/>
      <c r="H59" s="24"/>
      <c r="I59" s="26"/>
      <c r="J59" s="30"/>
    </row>
    <row r="60" spans="1:10">
      <c r="A60" s="25"/>
      <c r="B60" s="41"/>
      <c r="C60" s="32"/>
      <c r="D60" s="37"/>
      <c r="E60" s="32"/>
      <c r="F60" s="155"/>
      <c r="G60" s="25"/>
      <c r="H60" s="24"/>
      <c r="I60" s="26"/>
      <c r="J60" s="30"/>
    </row>
    <row r="61" spans="1:10">
      <c r="A61" s="25"/>
      <c r="B61" s="41"/>
      <c r="C61" s="32"/>
      <c r="D61" s="37"/>
      <c r="E61" s="41"/>
      <c r="F61" s="29"/>
      <c r="G61" s="25"/>
      <c r="H61" s="24"/>
      <c r="I61" s="26"/>
      <c r="J61" s="30"/>
    </row>
    <row r="62" spans="1:10">
      <c r="A62" s="25"/>
      <c r="B62" s="41"/>
      <c r="C62" s="156"/>
      <c r="D62" s="37"/>
      <c r="E62" s="28"/>
      <c r="F62" s="157"/>
      <c r="G62" s="25"/>
      <c r="H62" s="24"/>
      <c r="I62" s="26"/>
      <c r="J62" s="30"/>
    </row>
    <row r="63" spans="1:10">
      <c r="A63" s="25"/>
      <c r="B63" s="41"/>
      <c r="C63" s="42"/>
      <c r="D63" s="39"/>
      <c r="E63" s="42"/>
      <c r="F63" s="43"/>
      <c r="G63" s="36"/>
      <c r="H63" s="163"/>
      <c r="I63" s="33"/>
      <c r="J63" s="33"/>
    </row>
    <row r="64" spans="1:10" ht="15.95">
      <c r="A64" s="25"/>
      <c r="B64" s="41"/>
      <c r="C64" s="156"/>
      <c r="D64" s="44"/>
      <c r="E64" s="45"/>
      <c r="F64" s="46"/>
      <c r="G64" s="47"/>
      <c r="H64" s="24"/>
      <c r="I64" s="52"/>
      <c r="J64" s="30"/>
    </row>
    <row r="65" spans="1:10" ht="15.95">
      <c r="A65" s="25"/>
      <c r="B65" s="88"/>
      <c r="C65" s="156"/>
      <c r="D65" s="44"/>
      <c r="E65" s="45"/>
      <c r="F65" s="46"/>
      <c r="G65" s="47"/>
      <c r="H65" s="24"/>
      <c r="I65" s="52"/>
      <c r="J65" s="30"/>
    </row>
    <row r="66" spans="1:10" ht="15.95">
      <c r="A66" s="25"/>
      <c r="B66" s="88"/>
      <c r="C66" s="32"/>
      <c r="D66" s="37"/>
      <c r="E66" s="28"/>
      <c r="F66" s="29"/>
      <c r="G66" s="25"/>
      <c r="H66" s="24"/>
      <c r="I66" s="52"/>
      <c r="J66" s="30"/>
    </row>
    <row r="67" spans="1:10" s="11" customFormat="1">
      <c r="A67" s="25"/>
      <c r="B67" s="88"/>
      <c r="C67" s="30"/>
      <c r="D67" s="31"/>
      <c r="E67" s="32"/>
      <c r="F67" s="30"/>
      <c r="G67" s="53"/>
      <c r="H67" s="164"/>
      <c r="I67" s="54"/>
      <c r="J67" s="30"/>
    </row>
    <row r="68" spans="1:10" s="11" customFormat="1">
      <c r="A68" s="25"/>
      <c r="B68" s="88"/>
      <c r="C68" s="30"/>
      <c r="D68" s="31"/>
      <c r="E68" s="32"/>
      <c r="F68" s="30"/>
      <c r="G68" s="53"/>
      <c r="H68" s="164"/>
      <c r="I68" s="54"/>
      <c r="J68" s="30"/>
    </row>
    <row r="69" spans="1:10" s="11" customFormat="1">
      <c r="A69" s="25"/>
      <c r="B69" s="88"/>
      <c r="C69" s="30"/>
      <c r="D69" s="31"/>
      <c r="E69" s="32"/>
      <c r="F69" s="30"/>
      <c r="G69" s="53"/>
      <c r="H69" s="164"/>
      <c r="I69" s="54"/>
      <c r="J69" s="30"/>
    </row>
    <row r="70" spans="1:10" s="11" customFormat="1" ht="15.95">
      <c r="A70" s="25"/>
      <c r="B70" s="88"/>
      <c r="C70" s="32"/>
      <c r="D70" s="31"/>
      <c r="E70" s="32"/>
      <c r="F70" s="30"/>
      <c r="G70" s="53"/>
      <c r="H70" s="164"/>
      <c r="I70" s="55"/>
      <c r="J70" s="30"/>
    </row>
    <row r="71" spans="1:10" s="11" customFormat="1" ht="15.95">
      <c r="A71" s="25"/>
      <c r="B71" s="88"/>
      <c r="C71" s="32"/>
      <c r="D71" s="31"/>
      <c r="E71" s="32"/>
      <c r="F71" s="30"/>
      <c r="G71" s="53"/>
      <c r="H71" s="164"/>
      <c r="I71" s="55"/>
      <c r="J71" s="30"/>
    </row>
    <row r="72" spans="1:10" s="11" customFormat="1" ht="15.95">
      <c r="A72" s="25"/>
      <c r="B72" s="88"/>
      <c r="C72" s="32"/>
      <c r="D72" s="31"/>
      <c r="E72" s="32"/>
      <c r="F72" s="30"/>
      <c r="G72" s="53"/>
      <c r="H72" s="164"/>
      <c r="I72" s="55"/>
      <c r="J72" s="30"/>
    </row>
    <row r="73" spans="1:10">
      <c r="A73" s="25"/>
      <c r="B73" s="33"/>
      <c r="C73" s="33"/>
      <c r="D73" s="33"/>
      <c r="E73" s="33"/>
      <c r="F73" s="33"/>
      <c r="G73" s="36"/>
      <c r="H73" s="163"/>
      <c r="I73" s="51"/>
      <c r="J73" s="33"/>
    </row>
    <row r="74" spans="1:10" ht="15.95">
      <c r="A74" s="36"/>
      <c r="B74" s="35"/>
      <c r="C74" s="35"/>
      <c r="D74" s="39"/>
      <c r="E74" s="35"/>
      <c r="F74" s="33"/>
      <c r="G74" s="36"/>
      <c r="H74" s="163"/>
      <c r="I74" s="56"/>
      <c r="J74" s="33"/>
    </row>
    <row r="75" spans="1:10" ht="15.95">
      <c r="A75" s="36"/>
      <c r="B75" s="35"/>
      <c r="C75" s="35"/>
      <c r="D75" s="39"/>
      <c r="E75" s="35"/>
      <c r="F75" s="33"/>
      <c r="G75" s="36"/>
      <c r="H75" s="163"/>
      <c r="I75" s="56"/>
      <c r="J75" s="33"/>
    </row>
    <row r="76" spans="1:10" ht="15.95">
      <c r="A76" s="36"/>
      <c r="B76" s="35"/>
      <c r="C76" s="35"/>
      <c r="D76" s="39"/>
      <c r="E76" s="35"/>
      <c r="F76" s="33"/>
      <c r="G76" s="36"/>
      <c r="H76" s="24"/>
      <c r="I76" s="52"/>
      <c r="J76" s="33"/>
    </row>
    <row r="77" spans="1:10" ht="15.95">
      <c r="A77" s="25"/>
      <c r="B77" s="32"/>
      <c r="C77" s="32"/>
      <c r="D77" s="37"/>
      <c r="E77" s="28"/>
      <c r="F77" s="29"/>
      <c r="G77" s="25"/>
      <c r="H77" s="24"/>
      <c r="I77" s="52"/>
      <c r="J77" s="30"/>
    </row>
    <row r="78" spans="1:10" ht="15.95">
      <c r="A78" s="25"/>
      <c r="B78" s="32"/>
      <c r="C78" s="32"/>
      <c r="D78" s="37"/>
      <c r="E78" s="28"/>
      <c r="F78" s="29"/>
      <c r="G78" s="25"/>
      <c r="H78" s="24"/>
      <c r="I78" s="52"/>
      <c r="J78" s="30"/>
    </row>
    <row r="79" spans="1:10" ht="15.95">
      <c r="A79" s="25"/>
      <c r="B79" s="32"/>
      <c r="C79" s="32"/>
      <c r="D79" s="37"/>
      <c r="E79" s="28"/>
      <c r="F79" s="29"/>
      <c r="G79" s="25"/>
      <c r="H79" s="24"/>
      <c r="I79" s="52"/>
      <c r="J79" s="30"/>
    </row>
    <row r="80" spans="1:10" ht="15.95">
      <c r="A80" s="25"/>
      <c r="B80" s="32"/>
      <c r="C80" s="32"/>
      <c r="D80" s="37"/>
      <c r="E80" s="28"/>
      <c r="F80" s="29"/>
      <c r="G80" s="25"/>
      <c r="H80" s="24"/>
      <c r="I80" s="52"/>
      <c r="J80" s="30"/>
    </row>
    <row r="81" spans="1:10" ht="15.95">
      <c r="A81" s="25"/>
      <c r="B81" s="32"/>
      <c r="C81" s="32"/>
      <c r="D81" s="37"/>
      <c r="E81" s="28"/>
      <c r="F81" s="29"/>
      <c r="G81" s="25"/>
      <c r="H81" s="24"/>
      <c r="I81" s="52"/>
      <c r="J81" s="30"/>
    </row>
    <row r="82" spans="1:10" ht="15.95">
      <c r="A82" s="25"/>
      <c r="B82" s="32"/>
      <c r="C82" s="32"/>
      <c r="D82" s="37"/>
      <c r="E82" s="28"/>
      <c r="F82" s="29"/>
      <c r="G82" s="25"/>
      <c r="H82" s="24"/>
      <c r="I82" s="52"/>
      <c r="J82" s="30"/>
    </row>
    <row r="83" spans="1:10" ht="15.95">
      <c r="A83" s="25"/>
      <c r="B83" s="32"/>
      <c r="C83" s="32"/>
      <c r="D83" s="37"/>
      <c r="E83" s="28"/>
      <c r="F83" s="29"/>
      <c r="G83" s="25"/>
      <c r="H83" s="24"/>
      <c r="I83" s="52"/>
      <c r="J83" s="30"/>
    </row>
    <row r="84" spans="1:10" ht="15.95">
      <c r="A84" s="25"/>
      <c r="B84" s="32"/>
      <c r="C84" s="32"/>
      <c r="D84" s="37"/>
      <c r="E84" s="28"/>
      <c r="F84" s="29"/>
      <c r="G84" s="25"/>
      <c r="H84" s="24"/>
      <c r="I84" s="52"/>
      <c r="J84" s="30"/>
    </row>
    <row r="85" spans="1:10" ht="15.95">
      <c r="A85" s="25"/>
      <c r="B85" s="32"/>
      <c r="C85" s="32"/>
      <c r="D85" s="37"/>
      <c r="E85" s="28"/>
      <c r="F85" s="29"/>
      <c r="G85" s="25"/>
      <c r="H85" s="24"/>
      <c r="I85" s="52"/>
      <c r="J85" s="30"/>
    </row>
    <row r="86" spans="1:10" ht="15.95">
      <c r="A86" s="25"/>
      <c r="B86" s="32"/>
      <c r="C86" s="32"/>
      <c r="D86" s="37"/>
      <c r="E86" s="28"/>
      <c r="F86" s="29"/>
      <c r="G86" s="25"/>
      <c r="H86" s="24"/>
      <c r="I86" s="52"/>
      <c r="J86" s="30"/>
    </row>
  </sheetData>
  <sheetProtection formatCells="0" formatColumns="0" formatRows="0" insertColumns="0" insertRows="0" insertHyperlinks="0" deleteColumns="0" deleteRows="0" sort="0" autoFilter="0" pivotTables="0"/>
  <mergeCells count="2">
    <mergeCell ref="A1:J1"/>
    <mergeCell ref="B3:F3"/>
  </mergeCells>
  <phoneticPr fontId="25" type="noConversion"/>
  <conditionalFormatting sqref="H5:H86">
    <cfRule type="cellIs" dxfId="2" priority="1" operator="equal">
      <formula>"N/A"</formula>
    </cfRule>
    <cfRule type="cellIs" dxfId="1" priority="2" stopIfTrue="1" operator="equal">
      <formula>"Pass"</formula>
    </cfRule>
    <cfRule type="cellIs" dxfId="0" priority="3" stopIfTrue="1" operator="equal">
      <formula>"Fail"</formula>
    </cfRule>
  </conditionalFormatting>
  <dataValidations count="2">
    <dataValidation type="list" allowBlank="1" showErrorMessage="1" errorTitle="错误提示" error="请输入下拉列表中的值" sqref="G25:G1048576" xr:uid="{00000000-0002-0000-0800-000000000000}">
      <formula1>"P0,P1,P2"</formula1>
    </dataValidation>
    <dataValidation type="list" allowBlank="1" showInputMessage="1" showErrorMessage="1" errorTitle="错误提示" error="请输入下拉列表中的值" sqref="H5:H1048576" xr:uid="{00000000-0002-0000-0800-000001000000}">
      <formula1>"Pass,Fail,N/A"</formula1>
    </dataValidation>
  </dataValidations>
  <pageMargins left="0.75" right="0.75" top="1" bottom="1" header="0.5" footer="0.5"/>
  <pageSetup paperSize="9" scale="57"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
  <sheetViews>
    <sheetView workbookViewId="0">
      <selection activeCell="D17" sqref="D17"/>
    </sheetView>
  </sheetViews>
  <sheetFormatPr defaultColWidth="9" defaultRowHeight="17.100000000000001"/>
  <cols>
    <col min="1" max="1" width="10.625" style="2" customWidth="1"/>
    <col min="2" max="2" width="24.625" style="2" customWidth="1"/>
    <col min="3" max="3" width="29.875" style="1" customWidth="1"/>
    <col min="4" max="4" width="76.875" style="1" customWidth="1"/>
    <col min="5" max="16384" width="9" style="1"/>
  </cols>
  <sheetData>
    <row r="1" spans="1:4" ht="27">
      <c r="A1" s="230" t="s">
        <v>1476</v>
      </c>
      <c r="B1" s="231"/>
      <c r="C1" s="231"/>
      <c r="D1" s="232"/>
    </row>
    <row r="2" spans="1:4">
      <c r="A2" s="3" t="s">
        <v>1477</v>
      </c>
      <c r="B2" s="3" t="s">
        <v>1478</v>
      </c>
      <c r="C2" s="4" t="s">
        <v>1479</v>
      </c>
      <c r="D2" s="4" t="s">
        <v>76</v>
      </c>
    </row>
    <row r="3" spans="1:4">
      <c r="A3" s="5" t="s">
        <v>1480</v>
      </c>
      <c r="B3" s="5" t="s">
        <v>85</v>
      </c>
      <c r="C3" s="6">
        <v>45489</v>
      </c>
      <c r="D3" s="7" t="s">
        <v>1481</v>
      </c>
    </row>
    <row r="4" spans="1:4" ht="93.75" customHeight="1">
      <c r="A4" s="5" t="s">
        <v>1482</v>
      </c>
      <c r="B4" s="5" t="s">
        <v>85</v>
      </c>
      <c r="C4" s="6">
        <v>45762</v>
      </c>
      <c r="D4" s="8" t="s">
        <v>1483</v>
      </c>
    </row>
    <row r="5" spans="1:4">
      <c r="A5" s="5"/>
      <c r="B5" s="5"/>
      <c r="C5" s="6"/>
      <c r="D5" s="7"/>
    </row>
    <row r="6" spans="1:4">
      <c r="A6" s="5"/>
      <c r="B6" s="5"/>
      <c r="C6" s="6"/>
      <c r="D6" s="9"/>
    </row>
    <row r="7" spans="1:4">
      <c r="A7" s="5"/>
      <c r="B7" s="5"/>
      <c r="C7" s="6"/>
      <c r="D7" s="9"/>
    </row>
    <row r="8" spans="1:4">
      <c r="A8" s="5"/>
      <c r="B8" s="5"/>
      <c r="C8" s="6"/>
      <c r="D8" s="9"/>
    </row>
    <row r="9" spans="1:4">
      <c r="A9" s="5"/>
      <c r="B9" s="5"/>
      <c r="C9" s="6"/>
      <c r="D9" s="9"/>
    </row>
    <row r="10" spans="1:4">
      <c r="A10" s="5"/>
      <c r="B10" s="5"/>
      <c r="C10" s="6"/>
      <c r="D10" s="9"/>
    </row>
  </sheetData>
  <sheetProtection formatCells="0" formatColumns="0" formatRows="0" insertColumns="0" insertRows="0" insertHyperlinks="0" deleteColumns="0" deleteRows="0" sort="0" autoFilter="0" pivotTables="0"/>
  <mergeCells count="1">
    <mergeCell ref="A1:D1"/>
  </mergeCells>
  <phoneticPr fontId="25" type="noConversion"/>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2"/>
  <pixelatorList sheetStid="3"/>
  <pixelatorList sheetStid="17"/>
  <pixelatorList sheetStid="13"/>
  <pixelatorList sheetStid="4"/>
  <pixelatorList sheetStid="10"/>
  <pixelatorList sheetStid="5"/>
  <pixelatorList sheetStid="7"/>
  <pixelatorList sheetStid="18"/>
  <pixelatorList sheetStid="1"/>
  <pixelatorList sheetStid="19"/>
</pixelators>
</file>

<file path=customXml/item2.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5" interlineOnOff="0" interlineColor="0" isDbSheet="0" isDashBoardSheet="0" isDbDashBoardSheet="0" isFlexPaperSheet="0">
      <hyperlinks>
        <hyperlink ref="A27">
          <hypersublink pos="118" length="15" display="192.168.xxx.xxx" address="https://192.168.xxx.xxx" subaddress="" screenTip="" linkrunstype="LRTURL"/>
        </hyperlink>
        <hyperlink ref="A5">
          <hypersublink pos="118" length="15" display="192.168.xxx.xxx" address="https://192.168.xxx.xxx" subaddress="" screenTip="" linkrunstype="LRTURL"/>
        </hyperlink>
      </hyperlinks>
      <cellprotection/>
      <appEtDbRelations/>
    </woSheetProps>
    <woSheetProps sheetStid="7" interlineOnOff="0" interlineColor="0" isDbSheet="0" isDashBoardSheet="0" isDbDashBoardSheet="0" isFlexPaperSheet="0">
      <hyperlinks>
        <hyperlink ref="E11">
          <hypersublink pos="49" length="69" display="https://confluence.amlogic.com/pages/viewpage.action?pageId=417253220" address="https://confluence.amlogic.com/pages/viewpage.action?pageId=417253220" subaddress="" screenTip="" linkrunstype="LRTURL"/>
        </hyperlink>
      </hyperlinks>
      <cellprotection/>
      <appEtDbRelations/>
    </woSheetProps>
    <woSheetProps sheetStid="18"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sProps>
  <woBookProps>
    <bookSettings fileId="388038667302"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file>

<file path=customXml/itemProps2.xml><?xml version="1.0" encoding="utf-8"?>
<ds:datastoreItem xmlns:ds="http://schemas.openxmlformats.org/officeDocument/2006/customXml" ds:itemID="{06C82605-B75B-4693-9329-32AAD527C6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2023-05-30T11:15:00Z</dcterms:created>
  <dcterms:modified xsi:type="dcterms:W3CDTF">2026-05-19T06:42:23Z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9F2815E376964468A797102D8EB3FE12_13</vt:lpwstr>
  </property>
</Properties>
</file>